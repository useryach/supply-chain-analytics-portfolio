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chae/Downloads/Portfolio/"/>
    </mc:Choice>
  </mc:AlternateContent>
  <xr:revisionPtr revIDLastSave="0" documentId="13_ncr:1_{232C8FE6-453F-9844-84E6-FEC3F0B132FC}" xr6:coauthVersionLast="47" xr6:coauthVersionMax="47" xr10:uidLastSave="{00000000-0000-0000-0000-000000000000}"/>
  <bookViews>
    <workbookView xWindow="0" yWindow="600" windowWidth="38400" windowHeight="21000" activeTab="7" xr2:uid="{2B6A4C67-74AF-5641-9F54-2D8DADE6EF45}"/>
  </bookViews>
  <sheets>
    <sheet name="Demand pivot per SKU" sheetId="4" r:id="rId1"/>
    <sheet name="ABC Analysis" sheetId="6" r:id="rId2"/>
    <sheet name="ABC Analysis combined" sheetId="9" r:id="rId3"/>
    <sheet name="Simulated on-hand" sheetId="14" r:id="rId4"/>
    <sheet name="Demand" sheetId="17" r:id="rId5"/>
    <sheet name="Inputs" sheetId="19" r:id="rId6"/>
    <sheet name="Summary" sheetId="20" r:id="rId7"/>
    <sheet name="Data Notes" sheetId="1" r:id="rId8"/>
  </sheets>
  <definedNames>
    <definedName name="AsOf">Inputs!$B$3</definedName>
    <definedName name="ExcessDays">Inputs!$B$1</definedName>
    <definedName name="MinVolume">Inputs!$B$2</definedName>
    <definedName name="_xlnm.Print_Area" localSheetId="6">Summary!$A$1:$J$49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" i="9" l="1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101" i="9"/>
  <c r="E100" i="9"/>
  <c r="E99" i="9"/>
  <c r="E98" i="9"/>
  <c r="E97" i="9"/>
  <c r="E96" i="9"/>
  <c r="E2" i="9"/>
  <c r="J5" i="20"/>
  <c r="A2" i="20"/>
  <c r="J44" i="14" l="1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T56" i="14"/>
  <c r="T60" i="14"/>
  <c r="T84" i="14"/>
  <c r="O4" i="14"/>
  <c r="P4" i="14" s="1"/>
  <c r="O5" i="14"/>
  <c r="P5" i="14" s="1"/>
  <c r="O6" i="14"/>
  <c r="P6" i="14" s="1"/>
  <c r="O7" i="14"/>
  <c r="P7" i="14" s="1"/>
  <c r="O8" i="14"/>
  <c r="P8" i="14" s="1"/>
  <c r="O9" i="14"/>
  <c r="P9" i="14" s="1"/>
  <c r="O10" i="14"/>
  <c r="P10" i="14" s="1"/>
  <c r="O11" i="14"/>
  <c r="P11" i="14" s="1"/>
  <c r="O12" i="14"/>
  <c r="P12" i="14" s="1"/>
  <c r="O13" i="14"/>
  <c r="P13" i="14" s="1"/>
  <c r="O14" i="14"/>
  <c r="P14" i="14" s="1"/>
  <c r="O15" i="14"/>
  <c r="P15" i="14" s="1"/>
  <c r="O16" i="14"/>
  <c r="P16" i="14" s="1"/>
  <c r="O17" i="14"/>
  <c r="P17" i="14" s="1"/>
  <c r="O18" i="14"/>
  <c r="P18" i="14" s="1"/>
  <c r="O19" i="14"/>
  <c r="P19" i="14" s="1"/>
  <c r="O20" i="14"/>
  <c r="P20" i="14" s="1"/>
  <c r="O21" i="14"/>
  <c r="P21" i="14" s="1"/>
  <c r="O22" i="14"/>
  <c r="P22" i="14" s="1"/>
  <c r="O23" i="14"/>
  <c r="P23" i="14" s="1"/>
  <c r="O24" i="14"/>
  <c r="P24" i="14" s="1"/>
  <c r="O25" i="14"/>
  <c r="P25" i="14" s="1"/>
  <c r="O26" i="14"/>
  <c r="P26" i="14" s="1"/>
  <c r="O27" i="14"/>
  <c r="P27" i="14" s="1"/>
  <c r="O28" i="14"/>
  <c r="P28" i="14" s="1"/>
  <c r="O29" i="14"/>
  <c r="P29" i="14" s="1"/>
  <c r="O30" i="14"/>
  <c r="P30" i="14" s="1"/>
  <c r="O31" i="14"/>
  <c r="P31" i="14" s="1"/>
  <c r="O32" i="14"/>
  <c r="P32" i="14" s="1"/>
  <c r="O33" i="14"/>
  <c r="P33" i="14" s="1"/>
  <c r="O34" i="14"/>
  <c r="P34" i="14" s="1"/>
  <c r="O35" i="14"/>
  <c r="P35" i="14" s="1"/>
  <c r="O36" i="14"/>
  <c r="P36" i="14" s="1"/>
  <c r="O37" i="14"/>
  <c r="P37" i="14" s="1"/>
  <c r="O38" i="14"/>
  <c r="P38" i="14" s="1"/>
  <c r="O39" i="14"/>
  <c r="P39" i="14" s="1"/>
  <c r="O40" i="14"/>
  <c r="P40" i="14" s="1"/>
  <c r="O41" i="14"/>
  <c r="P41" i="14" s="1"/>
  <c r="O42" i="14"/>
  <c r="P42" i="14" s="1"/>
  <c r="O43" i="14"/>
  <c r="P43" i="14" s="1"/>
  <c r="O44" i="14"/>
  <c r="P44" i="14" s="1"/>
  <c r="O45" i="14"/>
  <c r="P45" i="14" s="1"/>
  <c r="O46" i="14"/>
  <c r="P46" i="14" s="1"/>
  <c r="O47" i="14"/>
  <c r="P47" i="14" s="1"/>
  <c r="O48" i="14"/>
  <c r="P48" i="14" s="1"/>
  <c r="O49" i="14"/>
  <c r="P49" i="14" s="1"/>
  <c r="O50" i="14"/>
  <c r="P50" i="14" s="1"/>
  <c r="O51" i="14"/>
  <c r="P51" i="14" s="1"/>
  <c r="O52" i="14"/>
  <c r="P52" i="14" s="1"/>
  <c r="O53" i="14"/>
  <c r="P53" i="14" s="1"/>
  <c r="O54" i="14"/>
  <c r="P54" i="14" s="1"/>
  <c r="O55" i="14"/>
  <c r="P55" i="14" s="1"/>
  <c r="O56" i="14"/>
  <c r="P56" i="14" s="1"/>
  <c r="O57" i="14"/>
  <c r="P57" i="14" s="1"/>
  <c r="O58" i="14"/>
  <c r="P58" i="14" s="1"/>
  <c r="O59" i="14"/>
  <c r="P59" i="14" s="1"/>
  <c r="O60" i="14"/>
  <c r="P60" i="14" s="1"/>
  <c r="O61" i="14"/>
  <c r="P61" i="14" s="1"/>
  <c r="O62" i="14"/>
  <c r="P62" i="14" s="1"/>
  <c r="O63" i="14"/>
  <c r="P63" i="14" s="1"/>
  <c r="O64" i="14"/>
  <c r="P64" i="14" s="1"/>
  <c r="O65" i="14"/>
  <c r="P65" i="14" s="1"/>
  <c r="O66" i="14"/>
  <c r="P66" i="14" s="1"/>
  <c r="O67" i="14"/>
  <c r="P67" i="14" s="1"/>
  <c r="O68" i="14"/>
  <c r="P68" i="14" s="1"/>
  <c r="O69" i="14"/>
  <c r="P69" i="14" s="1"/>
  <c r="O70" i="14"/>
  <c r="P70" i="14" s="1"/>
  <c r="O71" i="14"/>
  <c r="P71" i="14" s="1"/>
  <c r="O72" i="14"/>
  <c r="P72" i="14" s="1"/>
  <c r="O73" i="14"/>
  <c r="P73" i="14" s="1"/>
  <c r="O74" i="14"/>
  <c r="P74" i="14" s="1"/>
  <c r="O75" i="14"/>
  <c r="P75" i="14" s="1"/>
  <c r="O76" i="14"/>
  <c r="P76" i="14" s="1"/>
  <c r="O77" i="14"/>
  <c r="P77" i="14" s="1"/>
  <c r="O78" i="14"/>
  <c r="P78" i="14" s="1"/>
  <c r="O79" i="14"/>
  <c r="P79" i="14" s="1"/>
  <c r="O80" i="14"/>
  <c r="P80" i="14" s="1"/>
  <c r="O81" i="14"/>
  <c r="P81" i="14" s="1"/>
  <c r="O82" i="14"/>
  <c r="P82" i="14" s="1"/>
  <c r="O83" i="14"/>
  <c r="P83" i="14" s="1"/>
  <c r="O84" i="14"/>
  <c r="P84" i="14" s="1"/>
  <c r="O85" i="14"/>
  <c r="P85" i="14" s="1"/>
  <c r="O86" i="14"/>
  <c r="P86" i="14" s="1"/>
  <c r="O87" i="14"/>
  <c r="P87" i="14" s="1"/>
  <c r="O88" i="14"/>
  <c r="P88" i="14" s="1"/>
  <c r="O89" i="14"/>
  <c r="P89" i="14" s="1"/>
  <c r="O90" i="14"/>
  <c r="P90" i="14" s="1"/>
  <c r="O91" i="14"/>
  <c r="P91" i="14" s="1"/>
  <c r="O92" i="14"/>
  <c r="P92" i="14" s="1"/>
  <c r="O93" i="14"/>
  <c r="P93" i="14" s="1"/>
  <c r="O94" i="14"/>
  <c r="P94" i="14" s="1"/>
  <c r="O95" i="14"/>
  <c r="P95" i="14" s="1"/>
  <c r="O96" i="14"/>
  <c r="P96" i="14" s="1"/>
  <c r="O97" i="14"/>
  <c r="P97" i="14" s="1"/>
  <c r="O98" i="14"/>
  <c r="P98" i="14" s="1"/>
  <c r="O99" i="14"/>
  <c r="P99" i="14" s="1"/>
  <c r="O100" i="14"/>
  <c r="P100" i="14" s="1"/>
  <c r="O101" i="14"/>
  <c r="P101" i="14" s="1"/>
  <c r="O102" i="14"/>
  <c r="P102" i="14" s="1"/>
  <c r="O103" i="14"/>
  <c r="P103" i="14" s="1"/>
  <c r="B3" i="19"/>
  <c r="L42" i="14"/>
  <c r="Q42" i="14" s="1"/>
  <c r="D101" i="9"/>
  <c r="L103" i="14" s="1"/>
  <c r="Q103" i="14" s="1"/>
  <c r="R103" i="14" s="1"/>
  <c r="D100" i="9"/>
  <c r="L102" i="14" s="1"/>
  <c r="Q102" i="14" s="1"/>
  <c r="R102" i="14" s="1"/>
  <c r="D99" i="9"/>
  <c r="L100" i="14" s="1"/>
  <c r="Q100" i="14" s="1"/>
  <c r="R100" i="14" s="1"/>
  <c r="D98" i="9"/>
  <c r="L19" i="14" s="1"/>
  <c r="Q19" i="14" s="1"/>
  <c r="D97" i="9"/>
  <c r="L14" i="14" s="1"/>
  <c r="Q14" i="14" s="1"/>
  <c r="R14" i="14" s="1"/>
  <c r="D96" i="9"/>
  <c r="L4" i="14" s="1"/>
  <c r="D95" i="9"/>
  <c r="L98" i="14" s="1"/>
  <c r="Q98" i="14" s="1"/>
  <c r="D94" i="9"/>
  <c r="L17" i="14" s="1"/>
  <c r="Q17" i="14" s="1"/>
  <c r="R17" i="14" s="1"/>
  <c r="D93" i="9"/>
  <c r="L8" i="14" s="1"/>
  <c r="Q8" i="14" s="1"/>
  <c r="R8" i="14" s="1"/>
  <c r="D92" i="9"/>
  <c r="L99" i="14" s="1"/>
  <c r="Q99" i="14" s="1"/>
  <c r="R99" i="14" s="1"/>
  <c r="D91" i="9"/>
  <c r="L97" i="14" s="1"/>
  <c r="Q97" i="14" s="1"/>
  <c r="R97" i="14" s="1"/>
  <c r="D90" i="9"/>
  <c r="L67" i="14" s="1"/>
  <c r="Q67" i="14" s="1"/>
  <c r="D89" i="9"/>
  <c r="L16" i="14" s="1"/>
  <c r="Q16" i="14" s="1"/>
  <c r="D88" i="9"/>
  <c r="L7" i="14" s="1"/>
  <c r="Q7" i="14" s="1"/>
  <c r="R7" i="14" s="1"/>
  <c r="D87" i="9"/>
  <c r="L21" i="14" s="1"/>
  <c r="Q21" i="14" s="1"/>
  <c r="R21" i="14" s="1"/>
  <c r="D86" i="9"/>
  <c r="L11" i="14" s="1"/>
  <c r="Q11" i="14" s="1"/>
  <c r="R11" i="14" s="1"/>
  <c r="D85" i="9"/>
  <c r="L96" i="14" s="1"/>
  <c r="Q96" i="14" s="1"/>
  <c r="R96" i="14" s="1"/>
  <c r="D84" i="9"/>
  <c r="L93" i="14" s="1"/>
  <c r="Q93" i="14" s="1"/>
  <c r="R93" i="14" s="1"/>
  <c r="D83" i="9"/>
  <c r="L25" i="14" s="1"/>
  <c r="Q25" i="14" s="1"/>
  <c r="R25" i="14" s="1"/>
  <c r="D82" i="9"/>
  <c r="L90" i="14" s="1"/>
  <c r="Q90" i="14" s="1"/>
  <c r="D81" i="9"/>
  <c r="L89" i="14" s="1"/>
  <c r="Q89" i="14" s="1"/>
  <c r="D80" i="9"/>
  <c r="L92" i="14" s="1"/>
  <c r="Q92" i="14" s="1"/>
  <c r="D79" i="9"/>
  <c r="L13" i="14" s="1"/>
  <c r="Q13" i="14" s="1"/>
  <c r="R13" i="14" s="1"/>
  <c r="D78" i="9"/>
  <c r="L12" i="14" s="1"/>
  <c r="Q12" i="14" s="1"/>
  <c r="D77" i="9"/>
  <c r="L9" i="14" s="1"/>
  <c r="Q9" i="14" s="1"/>
  <c r="R9" i="14" s="1"/>
  <c r="D76" i="9"/>
  <c r="L6" i="14" s="1"/>
  <c r="Q6" i="14" s="1"/>
  <c r="R6" i="14" s="1"/>
  <c r="D75" i="9"/>
  <c r="L101" i="14" s="1"/>
  <c r="Q101" i="14" s="1"/>
  <c r="R101" i="14" s="1"/>
  <c r="D74" i="9"/>
  <c r="L73" i="14" s="1"/>
  <c r="Q73" i="14" s="1"/>
  <c r="D73" i="9"/>
  <c r="L69" i="14" s="1"/>
  <c r="Q69" i="14" s="1"/>
  <c r="R69" i="14" s="1"/>
  <c r="D72" i="9"/>
  <c r="L33" i="14" s="1"/>
  <c r="Q33" i="14" s="1"/>
  <c r="R33" i="14" s="1"/>
  <c r="D71" i="9"/>
  <c r="L95" i="14" s="1"/>
  <c r="Q95" i="14" s="1"/>
  <c r="R95" i="14" s="1"/>
  <c r="D70" i="9"/>
  <c r="L30" i="14" s="1"/>
  <c r="Q30" i="14" s="1"/>
  <c r="R30" i="14" s="1"/>
  <c r="D69" i="9"/>
  <c r="L5" i="14" s="1"/>
  <c r="Q5" i="14" s="1"/>
  <c r="R5" i="14" s="1"/>
  <c r="D68" i="9"/>
  <c r="L94" i="14" s="1"/>
  <c r="Q94" i="14" s="1"/>
  <c r="R94" i="14" s="1"/>
  <c r="D67" i="9"/>
  <c r="L70" i="14" s="1"/>
  <c r="Q70" i="14" s="1"/>
  <c r="R70" i="14" s="1"/>
  <c r="D66" i="9"/>
  <c r="L91" i="14" s="1"/>
  <c r="Q91" i="14" s="1"/>
  <c r="D65" i="9"/>
  <c r="L54" i="14" s="1"/>
  <c r="Q54" i="14" s="1"/>
  <c r="R54" i="14" s="1"/>
  <c r="D64" i="9"/>
  <c r="L87" i="14" s="1"/>
  <c r="Q87" i="14" s="1"/>
  <c r="R87" i="14" s="1"/>
  <c r="D63" i="9"/>
  <c r="L23" i="14" s="1"/>
  <c r="Q23" i="14" s="1"/>
  <c r="R23" i="14" s="1"/>
  <c r="D62" i="9"/>
  <c r="L62" i="14" s="1"/>
  <c r="Q62" i="14" s="1"/>
  <c r="R62" i="14" s="1"/>
  <c r="D61" i="9"/>
  <c r="L32" i="14" s="1"/>
  <c r="Q32" i="14" s="1"/>
  <c r="R32" i="14" s="1"/>
  <c r="D60" i="9"/>
  <c r="L29" i="14" s="1"/>
  <c r="Q29" i="14" s="1"/>
  <c r="R29" i="14" s="1"/>
  <c r="D59" i="9"/>
  <c r="L22" i="14" s="1"/>
  <c r="Q22" i="14" s="1"/>
  <c r="R22" i="14" s="1"/>
  <c r="D58" i="9"/>
  <c r="L60" i="14" s="1"/>
  <c r="Q60" i="14" s="1"/>
  <c r="D57" i="9"/>
  <c r="L28" i="14" s="1"/>
  <c r="Q28" i="14" s="1"/>
  <c r="D56" i="9"/>
  <c r="L50" i="14" s="1"/>
  <c r="Q50" i="14" s="1"/>
  <c r="R50" i="14" s="1"/>
  <c r="D55" i="9"/>
  <c r="L27" i="14" s="1"/>
  <c r="Q27" i="14" s="1"/>
  <c r="R27" i="14" s="1"/>
  <c r="D54" i="9"/>
  <c r="L10" i="14" s="1"/>
  <c r="Q10" i="14" s="1"/>
  <c r="R10" i="14" s="1"/>
  <c r="D53" i="9"/>
  <c r="L20" i="14" s="1"/>
  <c r="Q20" i="14" s="1"/>
  <c r="D52" i="9"/>
  <c r="L15" i="14" s="1"/>
  <c r="Q15" i="14" s="1"/>
  <c r="R15" i="14" s="1"/>
  <c r="D51" i="9"/>
  <c r="L26" i="14" s="1"/>
  <c r="Q26" i="14" s="1"/>
  <c r="R26" i="14" s="1"/>
  <c r="D50" i="9"/>
  <c r="L65" i="14" s="1"/>
  <c r="Q65" i="14" s="1"/>
  <c r="D49" i="9"/>
  <c r="L31" i="14" s="1"/>
  <c r="Q31" i="14" s="1"/>
  <c r="D48" i="9"/>
  <c r="L84" i="14" s="1"/>
  <c r="Q84" i="14" s="1"/>
  <c r="D47" i="9"/>
  <c r="L81" i="14" s="1"/>
  <c r="Q81" i="14" s="1"/>
  <c r="R81" i="14" s="1"/>
  <c r="D46" i="9"/>
  <c r="L51" i="14" s="1"/>
  <c r="Q51" i="14" s="1"/>
  <c r="R51" i="14" s="1"/>
  <c r="D45" i="9"/>
  <c r="L18" i="14" s="1"/>
  <c r="Q18" i="14" s="1"/>
  <c r="R18" i="14" s="1"/>
  <c r="D44" i="9"/>
  <c r="L80" i="14" s="1"/>
  <c r="Q80" i="14" s="1"/>
  <c r="R80" i="14" s="1"/>
  <c r="D43" i="9"/>
  <c r="L78" i="14" s="1"/>
  <c r="Q78" i="14" s="1"/>
  <c r="R78" i="14" s="1"/>
  <c r="D42" i="9"/>
  <c r="L75" i="14" s="1"/>
  <c r="Q75" i="14" s="1"/>
  <c r="D41" i="9"/>
  <c r="L72" i="14" s="1"/>
  <c r="Q72" i="14" s="1"/>
  <c r="D40" i="9"/>
  <c r="L34" i="14" s="1"/>
  <c r="Q34" i="14" s="1"/>
  <c r="R34" i="14" s="1"/>
  <c r="D39" i="9"/>
  <c r="L66" i="14" s="1"/>
  <c r="Q66" i="14" s="1"/>
  <c r="R66" i="14" s="1"/>
  <c r="D38" i="9"/>
  <c r="L86" i="14" s="1"/>
  <c r="Q86" i="14" s="1"/>
  <c r="R86" i="14" s="1"/>
  <c r="D37" i="9"/>
  <c r="L58" i="14" s="1"/>
  <c r="Q58" i="14" s="1"/>
  <c r="R58" i="14" s="1"/>
  <c r="D36" i="9"/>
  <c r="L56" i="14" s="1"/>
  <c r="Q56" i="14" s="1"/>
  <c r="R56" i="14" s="1"/>
  <c r="D35" i="9"/>
  <c r="L24" i="14" s="1"/>
  <c r="Q24" i="14" s="1"/>
  <c r="R24" i="14" s="1"/>
  <c r="D34" i="9"/>
  <c r="L46" i="14" s="1"/>
  <c r="Q46" i="14" s="1"/>
  <c r="R46" i="14" s="1"/>
  <c r="D33" i="9"/>
  <c r="L85" i="14" s="1"/>
  <c r="Q85" i="14" s="1"/>
  <c r="R85" i="14" s="1"/>
  <c r="D32" i="9"/>
  <c r="L64" i="14" s="1"/>
  <c r="Q64" i="14" s="1"/>
  <c r="D31" i="9"/>
  <c r="L61" i="14" s="1"/>
  <c r="Q61" i="14" s="1"/>
  <c r="R61" i="14" s="1"/>
  <c r="D30" i="9"/>
  <c r="L88" i="14" s="1"/>
  <c r="Q88" i="14" s="1"/>
  <c r="R88" i="14" s="1"/>
  <c r="D29" i="9"/>
  <c r="L77" i="14" s="1"/>
  <c r="Q77" i="14" s="1"/>
  <c r="R77" i="14" s="1"/>
  <c r="D28" i="9"/>
  <c r="L52" i="14" s="1"/>
  <c r="Q52" i="14" s="1"/>
  <c r="D27" i="9"/>
  <c r="L59" i="14" s="1"/>
  <c r="Q59" i="14" s="1"/>
  <c r="R59" i="14" s="1"/>
  <c r="D26" i="9"/>
  <c r="L57" i="14" s="1"/>
  <c r="Q57" i="14" s="1"/>
  <c r="R57" i="14" s="1"/>
  <c r="D25" i="9"/>
  <c r="L53" i="14" s="1"/>
  <c r="Q53" i="14" s="1"/>
  <c r="R53" i="14" s="1"/>
  <c r="D24" i="9"/>
  <c r="L76" i="14" s="1"/>
  <c r="Q76" i="14" s="1"/>
  <c r="D23" i="9"/>
  <c r="L44" i="14" s="1"/>
  <c r="Q44" i="14" s="1"/>
  <c r="D22" i="9"/>
  <c r="L71" i="14" s="1"/>
  <c r="Q71" i="14" s="1"/>
  <c r="R71" i="14" s="1"/>
  <c r="D21" i="9"/>
  <c r="L68" i="14" s="1"/>
  <c r="Q68" i="14" s="1"/>
  <c r="D20" i="9"/>
  <c r="L83" i="14" s="1"/>
  <c r="Q83" i="14" s="1"/>
  <c r="R83" i="14" s="1"/>
  <c r="D19" i="9"/>
  <c r="L82" i="14" s="1"/>
  <c r="Q82" i="14" s="1"/>
  <c r="R82" i="14" s="1"/>
  <c r="D18" i="9"/>
  <c r="L63" i="14" s="1"/>
  <c r="Q63" i="14" s="1"/>
  <c r="D17" i="9"/>
  <c r="L74" i="14" s="1"/>
  <c r="Q74" i="14" s="1"/>
  <c r="D16" i="9"/>
  <c r="L45" i="14" s="1"/>
  <c r="Q45" i="14" s="1"/>
  <c r="R45" i="14" s="1"/>
  <c r="D15" i="9"/>
  <c r="L79" i="14" s="1"/>
  <c r="Q79" i="14" s="1"/>
  <c r="R79" i="14" s="1"/>
  <c r="D14" i="9"/>
  <c r="L55" i="14" s="1"/>
  <c r="Q55" i="14" s="1"/>
  <c r="R55" i="14" s="1"/>
  <c r="D13" i="9"/>
  <c r="L47" i="14" s="1"/>
  <c r="Q47" i="14" s="1"/>
  <c r="R47" i="14" s="1"/>
  <c r="D12" i="9"/>
  <c r="L49" i="14" s="1"/>
  <c r="Q49" i="14" s="1"/>
  <c r="R49" i="14" s="1"/>
  <c r="D11" i="9"/>
  <c r="L48" i="14" s="1"/>
  <c r="Q48" i="14" s="1"/>
  <c r="R48" i="14" s="1"/>
  <c r="D10" i="9"/>
  <c r="L40" i="14" s="1"/>
  <c r="Q40" i="14" s="1"/>
  <c r="D9" i="9"/>
  <c r="L37" i="14" s="1"/>
  <c r="Q37" i="14" s="1"/>
  <c r="R37" i="14" s="1"/>
  <c r="D8" i="9"/>
  <c r="L36" i="14" s="1"/>
  <c r="Q36" i="14" s="1"/>
  <c r="D7" i="9"/>
  <c r="L38" i="14" s="1"/>
  <c r="Q38" i="14" s="1"/>
  <c r="R38" i="14" s="1"/>
  <c r="D6" i="9"/>
  <c r="L41" i="14" s="1"/>
  <c r="Q41" i="14" s="1"/>
  <c r="R41" i="14" s="1"/>
  <c r="D5" i="9"/>
  <c r="L39" i="14" s="1"/>
  <c r="Q39" i="14" s="1"/>
  <c r="R39" i="14" s="1"/>
  <c r="D4" i="9"/>
  <c r="L43" i="14" s="1"/>
  <c r="Q43" i="14" s="1"/>
  <c r="R43" i="14" s="1"/>
  <c r="D3" i="9"/>
  <c r="L35" i="14" s="1"/>
  <c r="Q35" i="14" s="1"/>
  <c r="R35" i="14" s="1"/>
  <c r="R20" i="14" l="1"/>
  <c r="R12" i="14"/>
  <c r="R42" i="14"/>
  <c r="R52" i="14"/>
  <c r="R68" i="14"/>
  <c r="R44" i="14"/>
  <c r="S44" i="14" s="1"/>
  <c r="R64" i="14"/>
  <c r="R84" i="14"/>
  <c r="S84" i="14" s="1"/>
  <c r="R74" i="14"/>
  <c r="R72" i="14"/>
  <c r="R31" i="14"/>
  <c r="R28" i="14"/>
  <c r="R89" i="14"/>
  <c r="R16" i="14"/>
  <c r="R98" i="14"/>
  <c r="R36" i="14"/>
  <c r="S36" i="14" s="1"/>
  <c r="R76" i="14"/>
  <c r="R92" i="14"/>
  <c r="R40" i="14"/>
  <c r="R63" i="14"/>
  <c r="R75" i="14"/>
  <c r="R65" i="14"/>
  <c r="S65" i="14" s="1"/>
  <c r="R60" i="14"/>
  <c r="R91" i="14"/>
  <c r="S91" i="14" s="1"/>
  <c r="R73" i="14"/>
  <c r="R90" i="14"/>
  <c r="R67" i="14"/>
  <c r="R19" i="14"/>
  <c r="S27" i="14"/>
  <c r="S34" i="14"/>
  <c r="S25" i="14"/>
  <c r="T99" i="14"/>
  <c r="T91" i="14"/>
  <c r="T83" i="14"/>
  <c r="T75" i="14"/>
  <c r="T67" i="14"/>
  <c r="T59" i="14"/>
  <c r="T51" i="14"/>
  <c r="T98" i="14"/>
  <c r="T90" i="14"/>
  <c r="T82" i="14"/>
  <c r="T74" i="14"/>
  <c r="T66" i="14"/>
  <c r="T58" i="14"/>
  <c r="T50" i="14"/>
  <c r="T97" i="14"/>
  <c r="T89" i="14"/>
  <c r="T81" i="14"/>
  <c r="T73" i="14"/>
  <c r="T65" i="14"/>
  <c r="T57" i="14"/>
  <c r="T49" i="14"/>
  <c r="T96" i="14"/>
  <c r="T88" i="14"/>
  <c r="T80" i="14"/>
  <c r="T72" i="14"/>
  <c r="T64" i="14"/>
  <c r="T48" i="14"/>
  <c r="T103" i="14"/>
  <c r="T95" i="14"/>
  <c r="T87" i="14"/>
  <c r="T79" i="14"/>
  <c r="T71" i="14"/>
  <c r="T63" i="14"/>
  <c r="T55" i="14"/>
  <c r="T47" i="14"/>
  <c r="S33" i="14"/>
  <c r="T102" i="14"/>
  <c r="T94" i="14"/>
  <c r="T86" i="14"/>
  <c r="T78" i="14"/>
  <c r="T70" i="14"/>
  <c r="T62" i="14"/>
  <c r="T54" i="14"/>
  <c r="T46" i="14"/>
  <c r="S16" i="14"/>
  <c r="T101" i="14"/>
  <c r="T93" i="14"/>
  <c r="T85" i="14"/>
  <c r="T77" i="14"/>
  <c r="T69" i="14"/>
  <c r="T61" i="14"/>
  <c r="T53" i="14"/>
  <c r="T45" i="14"/>
  <c r="S19" i="14"/>
  <c r="T100" i="14"/>
  <c r="T92" i="14"/>
  <c r="T76" i="14"/>
  <c r="T68" i="14"/>
  <c r="T52" i="14"/>
  <c r="T44" i="14"/>
  <c r="S43" i="14"/>
  <c r="S31" i="14"/>
  <c r="S28" i="14"/>
  <c r="S39" i="14"/>
  <c r="S47" i="14"/>
  <c r="S38" i="14"/>
  <c r="N2" i="9"/>
  <c r="N4" i="9"/>
  <c r="N3" i="9"/>
  <c r="S45" i="14"/>
  <c r="S37" i="14"/>
  <c r="S71" i="14"/>
  <c r="S63" i="14"/>
  <c r="Q4" i="14"/>
  <c r="R4" i="14" s="1"/>
  <c r="S4" i="14" s="1"/>
  <c r="S49" i="14"/>
  <c r="S42" i="14"/>
  <c r="S74" i="14"/>
  <c r="S66" i="14"/>
  <c r="S58" i="14"/>
  <c r="S97" i="14"/>
  <c r="S89" i="14"/>
  <c r="S81" i="14"/>
  <c r="S73" i="14"/>
  <c r="S79" i="14"/>
  <c r="S55" i="14"/>
  <c r="S101" i="14"/>
  <c r="S93" i="14"/>
  <c r="S85" i="14"/>
  <c r="S77" i="14"/>
  <c r="S69" i="14"/>
  <c r="S61" i="14"/>
  <c r="S53" i="14"/>
  <c r="S76" i="14"/>
  <c r="S68" i="14"/>
  <c r="S60" i="14"/>
  <c r="S52" i="14"/>
  <c r="S99" i="14"/>
  <c r="S83" i="14"/>
  <c r="S75" i="14"/>
  <c r="S67" i="14"/>
  <c r="S59" i="14"/>
  <c r="S51" i="14"/>
  <c r="S82" i="14"/>
  <c r="S50" i="14"/>
  <c r="S57" i="14"/>
  <c r="S46" i="14"/>
  <c r="S98" i="14"/>
  <c r="S90" i="14"/>
  <c r="S96" i="14"/>
  <c r="S88" i="14"/>
  <c r="S80" i="14"/>
  <c r="S72" i="14"/>
  <c r="S64" i="14"/>
  <c r="S56" i="14"/>
  <c r="S48" i="14"/>
  <c r="S40" i="14"/>
  <c r="S103" i="14"/>
  <c r="S95" i="14"/>
  <c r="S87" i="14"/>
  <c r="S102" i="14"/>
  <c r="S94" i="14"/>
  <c r="S86" i="14"/>
  <c r="S78" i="14"/>
  <c r="S70" i="14"/>
  <c r="S62" i="14"/>
  <c r="S54" i="14"/>
  <c r="S35" i="14"/>
  <c r="S11" i="14"/>
  <c r="S26" i="14"/>
  <c r="S18" i="14"/>
  <c r="S10" i="14"/>
  <c r="S100" i="14"/>
  <c r="S92" i="14"/>
  <c r="S32" i="14"/>
  <c r="S24" i="14"/>
  <c r="S41" i="14"/>
  <c r="S17" i="14"/>
  <c r="S9" i="14"/>
  <c r="S8" i="14"/>
  <c r="S23" i="14"/>
  <c r="S15" i="14"/>
  <c r="S7" i="14"/>
  <c r="S30" i="14"/>
  <c r="S22" i="14"/>
  <c r="S14" i="14"/>
  <c r="S6" i="14"/>
  <c r="S29" i="14"/>
  <c r="S21" i="14"/>
  <c r="S13" i="14"/>
  <c r="S5" i="14"/>
  <c r="S20" i="14"/>
  <c r="S12" i="14"/>
  <c r="I5" i="14" l="1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4" i="14"/>
  <c r="G5" i="14"/>
  <c r="H5" i="14" s="1"/>
  <c r="J5" i="14" s="1"/>
  <c r="G6" i="14"/>
  <c r="H6" i="14" s="1"/>
  <c r="J6" i="14" s="1"/>
  <c r="G7" i="14"/>
  <c r="H7" i="14" s="1"/>
  <c r="J7" i="14" s="1"/>
  <c r="G8" i="14"/>
  <c r="H8" i="14" s="1"/>
  <c r="J8" i="14" s="1"/>
  <c r="G9" i="14"/>
  <c r="H9" i="14" s="1"/>
  <c r="G10" i="14"/>
  <c r="H10" i="14" s="1"/>
  <c r="J10" i="14" s="1"/>
  <c r="G11" i="14"/>
  <c r="H11" i="14" s="1"/>
  <c r="J11" i="14" s="1"/>
  <c r="G12" i="14"/>
  <c r="H12" i="14" s="1"/>
  <c r="J12" i="14" s="1"/>
  <c r="G13" i="14"/>
  <c r="H13" i="14" s="1"/>
  <c r="J13" i="14" s="1"/>
  <c r="G14" i="14"/>
  <c r="H14" i="14" s="1"/>
  <c r="J14" i="14" s="1"/>
  <c r="G15" i="14"/>
  <c r="H15" i="14" s="1"/>
  <c r="J15" i="14" s="1"/>
  <c r="G16" i="14"/>
  <c r="H16" i="14" s="1"/>
  <c r="J16" i="14" s="1"/>
  <c r="G17" i="14"/>
  <c r="H17" i="14" s="1"/>
  <c r="G18" i="14"/>
  <c r="H18" i="14" s="1"/>
  <c r="J18" i="14" s="1"/>
  <c r="G19" i="14"/>
  <c r="H19" i="14" s="1"/>
  <c r="J19" i="14" s="1"/>
  <c r="G20" i="14"/>
  <c r="H20" i="14" s="1"/>
  <c r="J20" i="14" s="1"/>
  <c r="G21" i="14"/>
  <c r="H21" i="14" s="1"/>
  <c r="J21" i="14" s="1"/>
  <c r="G22" i="14"/>
  <c r="H22" i="14" s="1"/>
  <c r="J22" i="14" s="1"/>
  <c r="G23" i="14"/>
  <c r="H23" i="14" s="1"/>
  <c r="J23" i="14" s="1"/>
  <c r="G24" i="14"/>
  <c r="H24" i="14" s="1"/>
  <c r="G25" i="14"/>
  <c r="H25" i="14" s="1"/>
  <c r="G26" i="14"/>
  <c r="H26" i="14" s="1"/>
  <c r="J26" i="14" s="1"/>
  <c r="G27" i="14"/>
  <c r="H27" i="14" s="1"/>
  <c r="J27" i="14" s="1"/>
  <c r="G28" i="14"/>
  <c r="H28" i="14" s="1"/>
  <c r="J28" i="14" s="1"/>
  <c r="G29" i="14"/>
  <c r="H29" i="14" s="1"/>
  <c r="J29" i="14" s="1"/>
  <c r="G30" i="14"/>
  <c r="H30" i="14" s="1"/>
  <c r="J30" i="14" s="1"/>
  <c r="G31" i="14"/>
  <c r="H31" i="14" s="1"/>
  <c r="J31" i="14" s="1"/>
  <c r="G32" i="14"/>
  <c r="H32" i="14" s="1"/>
  <c r="G33" i="14"/>
  <c r="H33" i="14" s="1"/>
  <c r="G34" i="14"/>
  <c r="H34" i="14" s="1"/>
  <c r="J34" i="14" s="1"/>
  <c r="G35" i="14"/>
  <c r="H35" i="14" s="1"/>
  <c r="J35" i="14" s="1"/>
  <c r="G36" i="14"/>
  <c r="H36" i="14" s="1"/>
  <c r="J36" i="14" s="1"/>
  <c r="G37" i="14"/>
  <c r="H37" i="14" s="1"/>
  <c r="J37" i="14" s="1"/>
  <c r="G38" i="14"/>
  <c r="H38" i="14" s="1"/>
  <c r="J38" i="14" s="1"/>
  <c r="G39" i="14"/>
  <c r="H39" i="14" s="1"/>
  <c r="J39" i="14" s="1"/>
  <c r="G40" i="14"/>
  <c r="H40" i="14" s="1"/>
  <c r="G41" i="14"/>
  <c r="H41" i="14" s="1"/>
  <c r="G42" i="14"/>
  <c r="H42" i="14" s="1"/>
  <c r="J42" i="14" s="1"/>
  <c r="G43" i="14"/>
  <c r="H43" i="14" s="1"/>
  <c r="J43" i="14" s="1"/>
  <c r="G44" i="14"/>
  <c r="H44" i="14" s="1"/>
  <c r="G45" i="14"/>
  <c r="H45" i="14" s="1"/>
  <c r="G46" i="14"/>
  <c r="H46" i="14" s="1"/>
  <c r="G47" i="14"/>
  <c r="H47" i="14" s="1"/>
  <c r="G48" i="14"/>
  <c r="H48" i="14" s="1"/>
  <c r="G49" i="14"/>
  <c r="H49" i="14" s="1"/>
  <c r="G50" i="14"/>
  <c r="H50" i="14" s="1"/>
  <c r="G51" i="14"/>
  <c r="H51" i="14" s="1"/>
  <c r="G52" i="14"/>
  <c r="H52" i="14" s="1"/>
  <c r="G53" i="14"/>
  <c r="H53" i="14" s="1"/>
  <c r="G54" i="14"/>
  <c r="H54" i="14" s="1"/>
  <c r="G55" i="14"/>
  <c r="H55" i="14" s="1"/>
  <c r="G56" i="14"/>
  <c r="H56" i="14" s="1"/>
  <c r="G57" i="14"/>
  <c r="H57" i="14" s="1"/>
  <c r="G58" i="14"/>
  <c r="H58" i="14" s="1"/>
  <c r="G59" i="14"/>
  <c r="H59" i="14" s="1"/>
  <c r="G60" i="14"/>
  <c r="H60" i="14" s="1"/>
  <c r="G61" i="14"/>
  <c r="H61" i="14" s="1"/>
  <c r="G62" i="14"/>
  <c r="H62" i="14" s="1"/>
  <c r="G63" i="14"/>
  <c r="H63" i="14" s="1"/>
  <c r="G64" i="14"/>
  <c r="H64" i="14" s="1"/>
  <c r="G65" i="14"/>
  <c r="H65" i="14" s="1"/>
  <c r="G66" i="14"/>
  <c r="H66" i="14" s="1"/>
  <c r="G67" i="14"/>
  <c r="H67" i="14" s="1"/>
  <c r="G68" i="14"/>
  <c r="H68" i="14" s="1"/>
  <c r="G69" i="14"/>
  <c r="H69" i="14" s="1"/>
  <c r="G70" i="14"/>
  <c r="H70" i="14" s="1"/>
  <c r="G71" i="14"/>
  <c r="H71" i="14" s="1"/>
  <c r="G72" i="14"/>
  <c r="H72" i="14" s="1"/>
  <c r="G73" i="14"/>
  <c r="H73" i="14" s="1"/>
  <c r="G74" i="14"/>
  <c r="H74" i="14" s="1"/>
  <c r="G75" i="14"/>
  <c r="H75" i="14" s="1"/>
  <c r="G76" i="14"/>
  <c r="H76" i="14" s="1"/>
  <c r="G77" i="14"/>
  <c r="H77" i="14" s="1"/>
  <c r="G78" i="14"/>
  <c r="H78" i="14" s="1"/>
  <c r="G79" i="14"/>
  <c r="H79" i="14" s="1"/>
  <c r="G80" i="14"/>
  <c r="H80" i="14" s="1"/>
  <c r="G81" i="14"/>
  <c r="H81" i="14" s="1"/>
  <c r="G82" i="14"/>
  <c r="H82" i="14" s="1"/>
  <c r="G83" i="14"/>
  <c r="H83" i="14" s="1"/>
  <c r="G84" i="14"/>
  <c r="H84" i="14" s="1"/>
  <c r="G85" i="14"/>
  <c r="H85" i="14" s="1"/>
  <c r="G86" i="14"/>
  <c r="H86" i="14" s="1"/>
  <c r="G87" i="14"/>
  <c r="H87" i="14" s="1"/>
  <c r="G88" i="14"/>
  <c r="H88" i="14" s="1"/>
  <c r="G89" i="14"/>
  <c r="H89" i="14" s="1"/>
  <c r="G90" i="14"/>
  <c r="H90" i="14" s="1"/>
  <c r="G91" i="14"/>
  <c r="H91" i="14" s="1"/>
  <c r="G92" i="14"/>
  <c r="H92" i="14" s="1"/>
  <c r="G93" i="14"/>
  <c r="H93" i="14" s="1"/>
  <c r="G94" i="14"/>
  <c r="H94" i="14" s="1"/>
  <c r="G95" i="14"/>
  <c r="H95" i="14" s="1"/>
  <c r="G96" i="14"/>
  <c r="H96" i="14" s="1"/>
  <c r="G97" i="14"/>
  <c r="H97" i="14" s="1"/>
  <c r="G98" i="14"/>
  <c r="H98" i="14" s="1"/>
  <c r="G99" i="14"/>
  <c r="H99" i="14" s="1"/>
  <c r="G100" i="14"/>
  <c r="H100" i="14" s="1"/>
  <c r="G101" i="14"/>
  <c r="H101" i="14" s="1"/>
  <c r="G102" i="14"/>
  <c r="H102" i="14" s="1"/>
  <c r="G103" i="14"/>
  <c r="H103" i="14" s="1"/>
  <c r="G4" i="14"/>
  <c r="H4" i="14" s="1"/>
  <c r="O2" i="9"/>
  <c r="L4" i="9"/>
  <c r="L3" i="9"/>
  <c r="L2" i="9"/>
  <c r="T21" i="14" l="1"/>
  <c r="T7" i="14"/>
  <c r="U7" i="14" s="1"/>
  <c r="T35" i="14"/>
  <c r="T19" i="14"/>
  <c r="T39" i="14"/>
  <c r="T34" i="14"/>
  <c r="U34" i="14" s="1"/>
  <c r="T36" i="14"/>
  <c r="U36" i="14" s="1"/>
  <c r="T42" i="14"/>
  <c r="U42" i="14" s="1"/>
  <c r="B5" i="20" a="1"/>
  <c r="B5" i="20" s="1"/>
  <c r="K96" i="14"/>
  <c r="K88" i="14"/>
  <c r="K80" i="14"/>
  <c r="K72" i="14"/>
  <c r="K64" i="14"/>
  <c r="K56" i="14"/>
  <c r="K97" i="14"/>
  <c r="K89" i="14"/>
  <c r="K81" i="14"/>
  <c r="K73" i="14"/>
  <c r="K65" i="14"/>
  <c r="K57" i="14"/>
  <c r="K49" i="14"/>
  <c r="K48" i="14"/>
  <c r="K41" i="14"/>
  <c r="J41" i="14"/>
  <c r="K33" i="14"/>
  <c r="J33" i="14"/>
  <c r="K25" i="14"/>
  <c r="J25" i="14"/>
  <c r="K17" i="14"/>
  <c r="J17" i="14"/>
  <c r="K9" i="14"/>
  <c r="J9" i="14"/>
  <c r="K4" i="14"/>
  <c r="J4" i="14"/>
  <c r="K40" i="14"/>
  <c r="J40" i="14"/>
  <c r="K32" i="14"/>
  <c r="J32" i="14"/>
  <c r="K24" i="14"/>
  <c r="J24" i="14"/>
  <c r="K16" i="14"/>
  <c r="T16" i="14" s="1"/>
  <c r="U16" i="14" s="1"/>
  <c r="K8" i="14"/>
  <c r="T8" i="14" s="1"/>
  <c r="U8" i="14" s="1"/>
  <c r="U48" i="14"/>
  <c r="U56" i="14"/>
  <c r="U64" i="14"/>
  <c r="U72" i="14"/>
  <c r="U80" i="14"/>
  <c r="U88" i="14"/>
  <c r="U96" i="14"/>
  <c r="U97" i="14"/>
  <c r="U98" i="14"/>
  <c r="U49" i="14"/>
  <c r="U51" i="14"/>
  <c r="U59" i="14"/>
  <c r="U67" i="14"/>
  <c r="U75" i="14"/>
  <c r="U83" i="14"/>
  <c r="U91" i="14"/>
  <c r="U99" i="14"/>
  <c r="U44" i="14"/>
  <c r="U52" i="14"/>
  <c r="U60" i="14"/>
  <c r="U68" i="14"/>
  <c r="U76" i="14"/>
  <c r="U84" i="14"/>
  <c r="U92" i="14"/>
  <c r="U100" i="14"/>
  <c r="U45" i="14"/>
  <c r="U53" i="14"/>
  <c r="U61" i="14"/>
  <c r="U69" i="14"/>
  <c r="U77" i="14"/>
  <c r="U85" i="14"/>
  <c r="U93" i="14"/>
  <c r="U101" i="14"/>
  <c r="U65" i="14"/>
  <c r="U89" i="14"/>
  <c r="U50" i="14"/>
  <c r="U66" i="14"/>
  <c r="U82" i="14"/>
  <c r="U46" i="14"/>
  <c r="U54" i="14"/>
  <c r="U62" i="14"/>
  <c r="U70" i="14"/>
  <c r="U78" i="14"/>
  <c r="U86" i="14"/>
  <c r="U94" i="14"/>
  <c r="U102" i="14"/>
  <c r="U57" i="14"/>
  <c r="U73" i="14"/>
  <c r="U81" i="14"/>
  <c r="U58" i="14"/>
  <c r="U74" i="14"/>
  <c r="U90" i="14"/>
  <c r="U47" i="14"/>
  <c r="U55" i="14"/>
  <c r="U63" i="14"/>
  <c r="U71" i="14"/>
  <c r="U79" i="14"/>
  <c r="U87" i="14"/>
  <c r="U95" i="14"/>
  <c r="U103" i="14"/>
  <c r="K103" i="14"/>
  <c r="K95" i="14"/>
  <c r="K87" i="14"/>
  <c r="K79" i="14"/>
  <c r="K71" i="14"/>
  <c r="K63" i="14"/>
  <c r="K55" i="14"/>
  <c r="K47" i="14"/>
  <c r="K98" i="14"/>
  <c r="K90" i="14"/>
  <c r="K82" i="14"/>
  <c r="K74" i="14"/>
  <c r="K66" i="14"/>
  <c r="K58" i="14"/>
  <c r="K50" i="14"/>
  <c r="K101" i="14"/>
  <c r="K77" i="14"/>
  <c r="K45" i="14"/>
  <c r="K43" i="14"/>
  <c r="T43" i="14" s="1"/>
  <c r="U43" i="14" s="1"/>
  <c r="K85" i="14"/>
  <c r="K53" i="14"/>
  <c r="K69" i="14"/>
  <c r="K93" i="14"/>
  <c r="K61" i="14"/>
  <c r="K27" i="14"/>
  <c r="T27" i="14" s="1"/>
  <c r="U27" i="14" s="1"/>
  <c r="K102" i="14"/>
  <c r="K94" i="14"/>
  <c r="K86" i="14"/>
  <c r="K78" i="14"/>
  <c r="K70" i="14"/>
  <c r="K62" i="14"/>
  <c r="K54" i="14"/>
  <c r="K46" i="14"/>
  <c r="K91" i="14"/>
  <c r="K99" i="14"/>
  <c r="K83" i="14"/>
  <c r="K75" i="14"/>
  <c r="K67" i="14"/>
  <c r="K59" i="14"/>
  <c r="K51" i="14"/>
  <c r="K35" i="14"/>
  <c r="K19" i="14"/>
  <c r="K11" i="14"/>
  <c r="T11" i="14" s="1"/>
  <c r="K38" i="14"/>
  <c r="T38" i="14" s="1"/>
  <c r="K30" i="14"/>
  <c r="T30" i="14" s="1"/>
  <c r="K22" i="14"/>
  <c r="T22" i="14" s="1"/>
  <c r="U22" i="14" s="1"/>
  <c r="K14" i="14"/>
  <c r="T14" i="14" s="1"/>
  <c r="K6" i="14"/>
  <c r="T6" i="14" s="1"/>
  <c r="K100" i="14"/>
  <c r="K92" i="14"/>
  <c r="K84" i="14"/>
  <c r="K76" i="14"/>
  <c r="K68" i="14"/>
  <c r="K60" i="14"/>
  <c r="K52" i="14"/>
  <c r="K44" i="14"/>
  <c r="K39" i="14"/>
  <c r="K15" i="14"/>
  <c r="T15" i="14" s="1"/>
  <c r="K37" i="14"/>
  <c r="T37" i="14" s="1"/>
  <c r="U37" i="14" s="1"/>
  <c r="K29" i="14"/>
  <c r="T29" i="14" s="1"/>
  <c r="U21" i="14"/>
  <c r="K21" i="14"/>
  <c r="K13" i="14"/>
  <c r="T13" i="14" s="1"/>
  <c r="K5" i="14"/>
  <c r="T5" i="14" s="1"/>
  <c r="K36" i="14"/>
  <c r="K28" i="14"/>
  <c r="T28" i="14" s="1"/>
  <c r="K20" i="14"/>
  <c r="T20" i="14" s="1"/>
  <c r="K12" i="14"/>
  <c r="T12" i="14" s="1"/>
  <c r="K23" i="14"/>
  <c r="T23" i="14" s="1"/>
  <c r="K10" i="14"/>
  <c r="T10" i="14" s="1"/>
  <c r="K31" i="14"/>
  <c r="T31" i="14" s="1"/>
  <c r="K7" i="14"/>
  <c r="K42" i="14"/>
  <c r="K34" i="14"/>
  <c r="K26" i="14"/>
  <c r="T26" i="14" s="1"/>
  <c r="U26" i="14" s="1"/>
  <c r="K18" i="14"/>
  <c r="T18" i="14" s="1"/>
  <c r="U18" i="14" s="1"/>
  <c r="U19" i="14"/>
  <c r="U35" i="14"/>
  <c r="O4" i="9"/>
  <c r="O3" i="9"/>
  <c r="T24" i="14" l="1"/>
  <c r="U24" i="14" s="1"/>
  <c r="T41" i="14"/>
  <c r="U41" i="14" s="1"/>
  <c r="T33" i="14"/>
  <c r="U33" i="14" s="1"/>
  <c r="T25" i="14"/>
  <c r="U25" i="14" s="1"/>
  <c r="T17" i="14"/>
  <c r="U17" i="14" s="1"/>
  <c r="T9" i="14"/>
  <c r="U9" i="14" s="1"/>
  <c r="T32" i="14"/>
  <c r="U32" i="14" s="1"/>
  <c r="T40" i="14"/>
  <c r="U40" i="14" s="1"/>
  <c r="T4" i="14"/>
  <c r="U11" i="14"/>
  <c r="U28" i="14"/>
  <c r="U23" i="14"/>
  <c r="U29" i="14"/>
  <c r="U30" i="14"/>
  <c r="U12" i="14"/>
  <c r="U5" i="14"/>
  <c r="U6" i="14"/>
  <c r="U38" i="14"/>
  <c r="U31" i="14"/>
  <c r="U20" i="14"/>
  <c r="U13" i="14"/>
  <c r="U15" i="14"/>
  <c r="U14" i="14"/>
  <c r="U10" i="14"/>
  <c r="U39" i="14"/>
  <c r="O5" i="9"/>
  <c r="N5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2" i="9"/>
  <c r="G7" i="9" l="1"/>
  <c r="G6" i="9"/>
  <c r="H6" i="9" s="1"/>
  <c r="G8" i="9"/>
  <c r="H8" i="9" s="1"/>
  <c r="G88" i="9"/>
  <c r="H88" i="9" s="1"/>
  <c r="G56" i="9"/>
  <c r="H56" i="9" s="1"/>
  <c r="G87" i="9"/>
  <c r="H87" i="9" s="1"/>
  <c r="G55" i="9"/>
  <c r="H55" i="9" s="1"/>
  <c r="G15" i="9"/>
  <c r="H15" i="9" s="1"/>
  <c r="G91" i="9"/>
  <c r="G83" i="9"/>
  <c r="H83" i="9" s="1"/>
  <c r="G67" i="9"/>
  <c r="H67" i="9" s="1"/>
  <c r="G98" i="9"/>
  <c r="H98" i="9" s="1"/>
  <c r="G90" i="9"/>
  <c r="H90" i="9" s="1"/>
  <c r="G82" i="9"/>
  <c r="H82" i="9" s="1"/>
  <c r="G74" i="9"/>
  <c r="H74" i="9" s="1"/>
  <c r="G66" i="9"/>
  <c r="H66" i="9" s="1"/>
  <c r="G58" i="9"/>
  <c r="G50" i="9"/>
  <c r="H50" i="9" s="1"/>
  <c r="G42" i="9"/>
  <c r="G34" i="9"/>
  <c r="H34" i="9" s="1"/>
  <c r="G26" i="9"/>
  <c r="H26" i="9" s="1"/>
  <c r="G18" i="9"/>
  <c r="H18" i="9" s="1"/>
  <c r="G10" i="9"/>
  <c r="H10" i="9" s="1"/>
  <c r="G72" i="9"/>
  <c r="H72" i="9" s="1"/>
  <c r="G40" i="9"/>
  <c r="G16" i="9"/>
  <c r="G95" i="9"/>
  <c r="H95" i="9" s="1"/>
  <c r="G63" i="9"/>
  <c r="H63" i="9" s="1"/>
  <c r="G23" i="9"/>
  <c r="H23" i="9" s="1"/>
  <c r="G75" i="9"/>
  <c r="H75" i="9" s="1"/>
  <c r="G97" i="9"/>
  <c r="H97" i="9" s="1"/>
  <c r="G89" i="9"/>
  <c r="H89" i="9" s="1"/>
  <c r="G81" i="9"/>
  <c r="G73" i="9"/>
  <c r="H73" i="9" s="1"/>
  <c r="G65" i="9"/>
  <c r="H65" i="9" s="1"/>
  <c r="G57" i="9"/>
  <c r="H57" i="9" s="1"/>
  <c r="G49" i="9"/>
  <c r="H49" i="9" s="1"/>
  <c r="G41" i="9"/>
  <c r="H41" i="9" s="1"/>
  <c r="G33" i="9"/>
  <c r="H33" i="9" s="1"/>
  <c r="G25" i="9"/>
  <c r="H25" i="9" s="1"/>
  <c r="G17" i="9"/>
  <c r="G9" i="9"/>
  <c r="G80" i="9"/>
  <c r="H80" i="9" s="1"/>
  <c r="G48" i="9"/>
  <c r="G24" i="9"/>
  <c r="H24" i="9" s="1"/>
  <c r="G71" i="9"/>
  <c r="H71" i="9" s="1"/>
  <c r="G31" i="9"/>
  <c r="H31" i="9" s="1"/>
  <c r="G94" i="9"/>
  <c r="H94" i="9" s="1"/>
  <c r="G78" i="9"/>
  <c r="G62" i="9"/>
  <c r="H62" i="9" s="1"/>
  <c r="G46" i="9"/>
  <c r="H46" i="9" s="1"/>
  <c r="G30" i="9"/>
  <c r="H30" i="9" s="1"/>
  <c r="G14" i="9"/>
  <c r="H14" i="9" s="1"/>
  <c r="G101" i="9"/>
  <c r="H101" i="9" s="1"/>
  <c r="G93" i="9"/>
  <c r="H93" i="9" s="1"/>
  <c r="G85" i="9"/>
  <c r="H85" i="9" s="1"/>
  <c r="G77" i="9"/>
  <c r="G69" i="9"/>
  <c r="G61" i="9"/>
  <c r="H61" i="9" s="1"/>
  <c r="G53" i="9"/>
  <c r="H53" i="9" s="1"/>
  <c r="G45" i="9"/>
  <c r="H45" i="9" s="1"/>
  <c r="G37" i="9"/>
  <c r="H37" i="9" s="1"/>
  <c r="G29" i="9"/>
  <c r="H29" i="9" s="1"/>
  <c r="G21" i="9"/>
  <c r="H21" i="9" s="1"/>
  <c r="G13" i="9"/>
  <c r="G5" i="9"/>
  <c r="G96" i="9"/>
  <c r="G64" i="9"/>
  <c r="H64" i="9" s="1"/>
  <c r="G32" i="9"/>
  <c r="H32" i="9" s="1"/>
  <c r="G79" i="9"/>
  <c r="H79" i="9" s="1"/>
  <c r="G39" i="9"/>
  <c r="H39" i="9" s="1"/>
  <c r="G2" i="9"/>
  <c r="G86" i="9"/>
  <c r="H86" i="9" s="1"/>
  <c r="G70" i="9"/>
  <c r="H70" i="9" s="1"/>
  <c r="G54" i="9"/>
  <c r="H54" i="9" s="1"/>
  <c r="G38" i="9"/>
  <c r="H38" i="9" s="1"/>
  <c r="G22" i="9"/>
  <c r="H22" i="9" s="1"/>
  <c r="G100" i="9"/>
  <c r="H100" i="9" s="1"/>
  <c r="G92" i="9"/>
  <c r="H92" i="9" s="1"/>
  <c r="G84" i="9"/>
  <c r="H84" i="9" s="1"/>
  <c r="G76" i="9"/>
  <c r="G68" i="9"/>
  <c r="H68" i="9" s="1"/>
  <c r="G60" i="9"/>
  <c r="H60" i="9" s="1"/>
  <c r="G52" i="9"/>
  <c r="H52" i="9" s="1"/>
  <c r="G44" i="9"/>
  <c r="H44" i="9" s="1"/>
  <c r="G36" i="9"/>
  <c r="H36" i="9" s="1"/>
  <c r="G28" i="9"/>
  <c r="H28" i="9" s="1"/>
  <c r="G20" i="9"/>
  <c r="H20" i="9" s="1"/>
  <c r="G12" i="9"/>
  <c r="G4" i="9"/>
  <c r="H4" i="9" s="1"/>
  <c r="G47" i="9"/>
  <c r="H47" i="9" s="1"/>
  <c r="G99" i="9"/>
  <c r="H99" i="9" s="1"/>
  <c r="G59" i="9"/>
  <c r="H59" i="9" s="1"/>
  <c r="G51" i="9"/>
  <c r="H51" i="9" s="1"/>
  <c r="G43" i="9"/>
  <c r="H43" i="9" s="1"/>
  <c r="G35" i="9"/>
  <c r="H35" i="9" s="1"/>
  <c r="G27" i="9"/>
  <c r="H27" i="9" s="1"/>
  <c r="G19" i="9"/>
  <c r="H19" i="9" s="1"/>
  <c r="G11" i="9"/>
  <c r="H11" i="9" s="1"/>
  <c r="G3" i="9"/>
  <c r="H3" i="9" s="1"/>
  <c r="P2" i="9"/>
  <c r="P4" i="9"/>
  <c r="P3" i="9"/>
  <c r="U4" i="14"/>
  <c r="D5" i="20" s="1"/>
  <c r="J23" i="20" a="1"/>
  <c r="J23" i="20" s="1"/>
  <c r="B9" i="20"/>
  <c r="B10" i="20"/>
  <c r="J22" i="20" a="1"/>
  <c r="J22" i="20" s="1"/>
  <c r="B11" i="20"/>
  <c r="I23" i="20" a="1"/>
  <c r="I23" i="20" s="1"/>
  <c r="C11" i="20"/>
  <c r="I22" i="20" a="1"/>
  <c r="I22" i="20" s="1"/>
  <c r="C12" i="20"/>
  <c r="J21" i="20"/>
  <c r="C13" i="20"/>
  <c r="B14" i="20"/>
  <c r="B13" i="20"/>
  <c r="I21" i="20"/>
  <c r="C14" i="20"/>
  <c r="B15" i="20"/>
  <c r="C15" i="20"/>
  <c r="H5" i="20"/>
  <c r="B12" i="20"/>
  <c r="C9" i="20"/>
  <c r="A21" i="20" a="1"/>
  <c r="A21" i="20" s="1"/>
  <c r="H7" i="9"/>
  <c r="H42" i="9"/>
  <c r="H13" i="9"/>
  <c r="H17" i="9"/>
  <c r="H9" i="9"/>
  <c r="H96" i="9"/>
  <c r="H48" i="9"/>
  <c r="H12" i="9"/>
  <c r="H5" i="9"/>
  <c r="H16" i="9"/>
  <c r="H81" i="9"/>
  <c r="H40" i="9"/>
  <c r="H58" i="9"/>
  <c r="H69" i="9"/>
  <c r="H91" i="9"/>
  <c r="H77" i="9"/>
  <c r="H78" i="9"/>
  <c r="H76" i="9"/>
  <c r="F5" i="20" l="1"/>
  <c r="C10" i="20"/>
  <c r="C16" i="20" s="1"/>
  <c r="A36" i="20" a="1"/>
  <c r="A36" i="20" s="1"/>
  <c r="B16" i="20"/>
  <c r="H2" i="9"/>
  <c r="M4" i="9"/>
  <c r="M3" i="9"/>
  <c r="A3" i="20" l="1"/>
  <c r="P5" i="9"/>
  <c r="Q2" i="9" s="1"/>
  <c r="L5" i="9"/>
  <c r="M2" i="9"/>
  <c r="M5" i="9" s="1"/>
  <c r="Q4" i="9" l="1"/>
  <c r="Q3" i="9"/>
  <c r="Q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<sst xmlns="http://schemas.openxmlformats.org/spreadsheetml/2006/main" count="468" uniqueCount="374">
  <si>
    <t>Sales</t>
  </si>
  <si>
    <t>Perfect Fitness Perfect Rip Deck</t>
  </si>
  <si>
    <t>Under Armour Girls' Toddler Spine Surge Runni</t>
  </si>
  <si>
    <t>Nike Men's Dri-FIT Victory Golf Polo</t>
  </si>
  <si>
    <t>Under Armour Men's Compression EV SL Slide</t>
  </si>
  <si>
    <t>Under Armour Women's Micro G Skulpt Running S</t>
  </si>
  <si>
    <t>Nike Men's Free 5.0+ Running Shoe</t>
  </si>
  <si>
    <t>Glove It Women's Mod Oval 3-Zip Carry All Gol</t>
  </si>
  <si>
    <t>Bridgestone e6 Straight Distance NFL San Dieg</t>
  </si>
  <si>
    <t>Columbia Men's PFG Anchor Tough T-Shirt</t>
  </si>
  <si>
    <t>Titleist Pro V1x Golf Balls</t>
  </si>
  <si>
    <t>Bridgestone e6 Straight Distance NFL Tennesse</t>
  </si>
  <si>
    <t>Polar FT4 Heart Rate Monitor</t>
  </si>
  <si>
    <t>ENO Atlas Hammock Straps</t>
  </si>
  <si>
    <t>adidas Men's F10 Messi TRX FG Soccer Cleat</t>
  </si>
  <si>
    <t>Brooks Women's Ghost 6 Running Shoe</t>
  </si>
  <si>
    <t>Nike Men's CJ Elite 2 TD Football Cleat</t>
  </si>
  <si>
    <t>Diamondback Women's Serene Classic Comfort Bi</t>
  </si>
  <si>
    <t>Elevation Training Mask 2.0</t>
  </si>
  <si>
    <t>Nike Men's Deutschland Weltmeister Winners Bl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</si>
  <si>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</si>
  <si>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</si>
  <si>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</si>
  <si>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</si>
  <si>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</si>
  <si>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Nike Men's Comfort 2 Slide</t>
  </si>
  <si>
    <t>Under Armour Hustle Storm Medium Duffle Bag</t>
  </si>
  <si>
    <t>Under Armour Kids' Mercenary Slide</t>
  </si>
  <si>
    <t>Under Armour Women's Ignite PIP VI Slide</t>
  </si>
  <si>
    <t>Nike Men's Free TR 5.0 TB Training Shoe</t>
  </si>
  <si>
    <t>adidas Youth Germany Black/Red Away Match Soc</t>
  </si>
  <si>
    <t>adidas Men's Germany Black Crest Away Tee</t>
  </si>
  <si>
    <t>TYR Boys' Team Digi Jammer</t>
  </si>
  <si>
    <t>Team Golf Texas Longhorns Putter Grip</t>
  </si>
  <si>
    <t>Glove It Women's Imperial Golf Glove</t>
  </si>
  <si>
    <t>Titleist Pro V1x High Numbers Golf Balls</t>
  </si>
  <si>
    <t>Bridgestone e6 Straight Distance NFL Carolina</t>
  </si>
  <si>
    <t>Under Armour Women's Ignite Slide</t>
  </si>
  <si>
    <t>Team Golf Pittsburgh Steelers Putter Grip</t>
  </si>
  <si>
    <t>Titleist Pro V1x High Numbers Personalized Go</t>
  </si>
  <si>
    <t>GoPro HERO3+ Black Edition Camera</t>
  </si>
  <si>
    <t>Total Gym 1400</t>
  </si>
  <si>
    <t>Team Golf New England Patriots Putter Grip</t>
  </si>
  <si>
    <t>adidas Kids' F5 Messi FG Soccer Cleat</t>
  </si>
  <si>
    <t>Nike Women's Tempo Shorts</t>
  </si>
  <si>
    <t>Glove It Women's Mod Oval Golf Glove</t>
  </si>
  <si>
    <t>Under Armour Men's Tech II T-Shirt</t>
  </si>
  <si>
    <t>Mio ALPHA Heart Rate Monitor/Sport Watch</t>
  </si>
  <si>
    <t>Field &amp; Stream Sportsman 16 Gun Fire Safe</t>
  </si>
  <si>
    <t>Diamondback Boys' Insight 24 Performance Hybr</t>
  </si>
  <si>
    <t>Polar Loop Activity Tracker</t>
  </si>
  <si>
    <t>Garmin Forerunner 910XT GPS Watch</t>
  </si>
  <si>
    <t>Nike Kids' Grade School KD VI Basketball Shoe</t>
  </si>
  <si>
    <t>Nike Women's Free 5.0 TR FIT PRT 4 Training S</t>
  </si>
  <si>
    <t>Titleist Pro V1 High Numbers Personalized Gol</t>
  </si>
  <si>
    <t>Hirzl Women's Soffft Flex Golf Glove</t>
  </si>
  <si>
    <t>OK</t>
  </si>
  <si>
    <t>The North Face Women's Recon Backpack</t>
  </si>
  <si>
    <t>Nike Dri-FIT Crew Sock 6 Pack</t>
  </si>
  <si>
    <t>Nike Women's Legend V-Neck T-Shirt</t>
  </si>
  <si>
    <t>Garmin Approach S4 Golf GPS Watch</t>
  </si>
  <si>
    <t>insta-bed Neverflat Air Mattress</t>
  </si>
  <si>
    <t>Nike Men's Kobe IX Elite Low Basketball Shoe</t>
  </si>
  <si>
    <t>Garmin Approach S3 Golf GPS Watch</t>
  </si>
  <si>
    <t>Fitbit The One Wireless Activity &amp; Sleep Trac</t>
  </si>
  <si>
    <t>Stiga Master Series ST3100 Competition Indoor</t>
  </si>
  <si>
    <t>Diamondback Girls' Clarity 24 Hybrid Bike 201</t>
  </si>
  <si>
    <t>adidas Brazuca 2014 Official Match Ball</t>
  </si>
  <si>
    <t>GolfBuddy VT3 GPS Watch</t>
  </si>
  <si>
    <t>Bushnell Pro X7 Jolt Slope Rangefinder</t>
  </si>
  <si>
    <t>Yakima DoubleDown Ace Hitch Mount 4-Bike Rack</t>
  </si>
  <si>
    <t>Nike Men's Fingertrap Max Training Shoe</t>
  </si>
  <si>
    <t>Bowflex SelectTech 1090 Dumbbells</t>
  </si>
  <si>
    <t>SOLE E35 Elliptical</t>
  </si>
  <si>
    <t>Hirzl Women's Hybrid Golf Glove</t>
  </si>
  <si>
    <t>Hirzl Men's Hybrid Golf Glove</t>
  </si>
  <si>
    <t>TaylorMade 2014 Purelite Stand Bag</t>
  </si>
  <si>
    <t>Bag Boy Beverage Holder</t>
  </si>
  <si>
    <t>Bag Boy M330 Push Cart</t>
  </si>
  <si>
    <t>Clicgear 8.0 Shoe Brush</t>
  </si>
  <si>
    <t>Titleist Small Wheeled Travel Cover</t>
  </si>
  <si>
    <t>Clicgear Rovic Cooler Bag</t>
  </si>
  <si>
    <t>Titleist Club Glove Travel Cover</t>
  </si>
  <si>
    <t>Ogio Race Golf Shoes</t>
  </si>
  <si>
    <t>LIJA Women's Argyle Golf Polo</t>
  </si>
  <si>
    <t>LIJA Women's Eyelet Sleeveless Golf Polo</t>
  </si>
  <si>
    <t>LIJA Women's Button Golf Dress</t>
  </si>
  <si>
    <t>LIJA Women's Mid-Length Panel Golf Shorts</t>
  </si>
  <si>
    <t>TaylorMade Women's RBZ SL Rescue</t>
  </si>
  <si>
    <t>Cleveland Golf Women's 588 RTX CB Satin Chrom</t>
  </si>
  <si>
    <t>Top Flite Women's 2014 XL Hybrid</t>
  </si>
  <si>
    <t>MDGolf Pittsburgh Penguins Putter</t>
  </si>
  <si>
    <t>TaylorMade White Smoke IN-12 Putter</t>
  </si>
  <si>
    <t>Cleveland Golf Collegiate My Custom Wedge 588</t>
  </si>
  <si>
    <t>Merrell Men's All Out Flash Trail Running Sho</t>
  </si>
  <si>
    <t>Merrell Women's Grassbow Sport Waterproof Hik</t>
  </si>
  <si>
    <t>Merrell Women's Siren Mid Waterproof Hiking B</t>
  </si>
  <si>
    <t>Merrell Women's Grassbow Sport Hiking Shoe</t>
  </si>
  <si>
    <t>Pelican Sunstream 100 Kayak</t>
  </si>
  <si>
    <t>Pelican Maverick 100X Kayak</t>
  </si>
  <si>
    <t>O'Brien Men's Neoprene Life Vest</t>
  </si>
  <si>
    <t>SOLE E25 Elliptical</t>
  </si>
  <si>
    <t>DATA NOTES</t>
  </si>
  <si>
    <t>Source file</t>
  </si>
  <si>
    <t>DataCoSupplyChainDataset.csv  (Kaggle — DataCo Smart Supply Chain)</t>
  </si>
  <si>
    <t>Raw size</t>
  </si>
  <si>
    <t>180,519 rows x 53 columns</t>
  </si>
  <si>
    <t>After cleaning</t>
  </si>
  <si>
    <t>164,572 rows x 42 columns</t>
  </si>
  <si>
    <t>Grain</t>
  </si>
  <si>
    <t>Date range kept</t>
  </si>
  <si>
    <t>Prepared by / date</t>
  </si>
  <si>
    <t>One row = one order LINE, not one order. 164,572 lines across 54,854 orders (~3.0 lines/order).</t>
  </si>
  <si>
    <t>2015-01-01 to 2017-09-30</t>
  </si>
  <si>
    <t>Section A - Cleaning fixes</t>
  </si>
  <si>
    <t>#</t>
  </si>
  <si>
    <t>A1</t>
  </si>
  <si>
    <t>Issue</t>
  </si>
  <si>
    <t>What I found</t>
  </si>
  <si>
    <t>What I did</t>
  </si>
  <si>
    <t>why it matters</t>
  </si>
  <si>
    <t>File encoding</t>
  </si>
  <si>
    <t>A2</t>
  </si>
  <si>
    <t>Data columns arrived as text</t>
  </si>
  <si>
    <t>A3</t>
  </si>
  <si>
    <t>Masked column</t>
  </si>
  <si>
    <t>Removed both.</t>
  </si>
  <si>
    <t>Customer email and password contained literal string XXXXXXXXX on every row.</t>
  </si>
  <si>
    <t>No information content.</t>
  </si>
  <si>
    <t>A4</t>
  </si>
  <si>
    <t>Empty / Constant columns</t>
  </si>
  <si>
    <t xml:space="preserve">Product description 100% null (180,519 of 180,519). Product status constant 0. </t>
  </si>
  <si>
    <t xml:space="preserve">No variance, No analytical use. </t>
  </si>
  <si>
    <t>A5</t>
  </si>
  <si>
    <t>Mostly-null column</t>
  </si>
  <si>
    <t>Order zipcode 86% null (155,679 missing).</t>
  </si>
  <si>
    <t>Removed.</t>
  </si>
  <si>
    <t>Too sparse to use. Order City / State / Country already cover geography.</t>
  </si>
  <si>
    <t>A6</t>
  </si>
  <si>
    <t>Personal data</t>
  </si>
  <si>
    <t>Customer Fname, Lname, Street, Zipcode — synthetic but PII-shaped.</t>
  </si>
  <si>
    <t>Removed. Kept Customer City / State / Country.</t>
  </si>
  <si>
    <t>Repo is public. City level verification is not identifying and project 2 needs it.</t>
  </si>
  <si>
    <t>A7</t>
  </si>
  <si>
    <t>LEAKAGE COLUMN</t>
  </si>
  <si>
    <t>Late_delivery_risk (0/1) equals Delivery Status = 'Late delivery' exactly, on all 180,519 rows, zero exceptions.</t>
  </si>
  <si>
    <t>Named like a pre-shipment risk score; it is actually the recorded outcome. Rebuildable from Delivery Status with one IF — the reverse loses 3 of the 4 categories.</t>
  </si>
  <si>
    <t>A8</t>
  </si>
  <si>
    <t>Whitespace padding</t>
  </si>
  <si>
    <t>4 of 16 text columns padded: Order Region 17,925 rows, Product Name 1,774, Category Name 1,475, Department Name 362.</t>
  </si>
  <si>
    <t>Trimmed all 16 text columns in one applied step.</t>
  </si>
  <si>
    <t>Standard practice — padding breaks lookups against typed values and breaks SQL joins later.</t>
  </si>
  <si>
    <t>A9</t>
  </si>
  <si>
    <t>Whitespace created no duplicates</t>
  </si>
  <si>
    <t>Padding is applied consistantly. Trimming collapsed ZERO duplicates: Product Name stays 118 distinct, Order Region 23, Category Name 50.</t>
  </si>
  <si>
    <t>Documented. No de-duplication performed.</t>
  </si>
  <si>
    <t>Recorded so the trim is not mistaken for a fix that changed the data. It was defensive, not corrective.</t>
  </si>
  <si>
    <t>A10</t>
  </si>
  <si>
    <t>Internal double spaces</t>
  </si>
  <si>
    <t>Order Region 4,045 rows ('South of  USA'), Category Name 68 ('As Seen on  TV!'). Power Query Trim removes leading/trailing only, not internal runs.</t>
  </si>
  <si>
    <t>Left as-is. Distinct counts unchanged (23 and 50).</t>
  </si>
  <si>
    <t>Only bites if a value is hand-typed into a filter or SUMIFS and silently fails to match.</t>
  </si>
  <si>
    <t>A11</t>
  </si>
  <si>
    <t>TRUNCATED SOURCE DATA</t>
  </si>
  <si>
    <t>Oct 2017 - Jan 2018 is structurally different: volume falls from ~5,200 lines/month to ~2,100; SKU range collapses from ~42 to 8-20; Nov-Jan have quantity exactly 1 on every row.</t>
  </si>
  <si>
    <t>Filtered to order date before 10/1/2017. Removed 8,557 rows -&gt; 171,962.</t>
  </si>
  <si>
    <t>A data artifact, not a demand decline. Including it understates average daily demand, which feeds directly into reorder points, and would corrupt the Project 3 forecast holdout.</t>
  </si>
  <si>
    <t>A12</t>
  </si>
  <si>
    <t>Non-demand record</t>
  </si>
  <si>
    <t>Order Status includes CANCELED and SUSPECTED_FRAUD.</t>
  </si>
  <si>
    <t>Removed both. Removed 7,390 rows -&gt; 164,572.</t>
  </si>
  <si>
    <t>Cancelled and fraudulent orders are not demand and would deflate every rate calculated from them.</t>
  </si>
  <si>
    <t>A13</t>
  </si>
  <si>
    <t>Cancelled shipment</t>
  </si>
  <si>
    <t>All 7,754 rows with Delivery Status = 'Shipping canceled' sit inside the two statuses removed at A12.</t>
  </si>
  <si>
    <t>No separate filter needed. Verified 0 remain after A12.</t>
  </si>
  <si>
    <t>Confirms A12 was sufficient and prevents double-filtering.</t>
  </si>
  <si>
    <t>A14</t>
  </si>
  <si>
    <t>Missing values</t>
  </si>
  <si>
    <t>Zero blanks across all 42 columns after cleaning. Also checked 9 placeholder strings (NULL, N/A, NA, None, dash, question mark, Excel error text) — none present.</t>
  </si>
  <si>
    <t>No imputation performed.</t>
  </si>
  <si>
    <t>COUNTBLANK alone can pass while text placeholders hide missing data. Both were checked.</t>
  </si>
  <si>
    <t>A15</t>
  </si>
  <si>
    <t>Zeros that look like missing</t>
  </si>
  <si>
    <t>Days for shipment (scheduled) = 0 on 8,851 rows.</t>
  </si>
  <si>
    <t>Kept — verified legitimate.</t>
  </si>
  <si>
    <t>Maps 1:1 to Shipping Mode with no exceptions: Same Day 0, First Class 1, Second Class 2, Standard Class 4. The zeros are Same Day shipping, not missing values.</t>
  </si>
  <si>
    <t>SECTION B - ASSUMPTIONS</t>
  </si>
  <si>
    <t>Assumption</t>
  </si>
  <si>
    <t>Detail</t>
  </si>
  <si>
    <t>B1</t>
  </si>
  <si>
    <t>NO INVENTORY DATA EXISTS IN THIS DATASET</t>
  </si>
  <si>
    <t>B2</t>
  </si>
  <si>
    <t>NO SUPPLIER LEAD TIME EXIST</t>
  </si>
  <si>
    <t>B3</t>
  </si>
  <si>
    <t>Consequence of B2</t>
  </si>
  <si>
    <t>B4</t>
  </si>
  <si>
    <t>Days for shipment (scheduled) is not independent</t>
  </si>
  <si>
    <t xml:space="preserve">It is a numeric restatement of Shipping Mode (1:1, no exceptions). Retained for arithmetic convenience, but it carries no information the mode column does not.		</t>
  </si>
  <si>
    <t>SECTION C - DECISIONS</t>
  </si>
  <si>
    <t>Decision</t>
  </si>
  <si>
    <t>Chosen</t>
  </si>
  <si>
    <t>Rejected alternative</t>
  </si>
  <si>
    <t>Note</t>
  </si>
  <si>
    <t>C1</t>
  </si>
  <si>
    <t>Revenue field</t>
  </si>
  <si>
    <t>Sales — equals Product Price x Order Item Quantity exactly on every row (gross).</t>
  </si>
  <si>
    <t>Order Item Total (net of discount).</t>
  </si>
  <si>
    <t>1,224 rows in the raw file do not reconcile between the two by more than $0.01. One field used throughout; never mixed.</t>
  </si>
  <si>
    <t>C2</t>
  </si>
  <si>
    <t>Shipping Duration</t>
  </si>
  <si>
    <t>The supplied Days for shipping (real) column.</t>
  </si>
  <si>
    <t>Recomputing from the two timestamps.</t>
  </si>
  <si>
    <t>4,657 rows in the raw file differ, because elapsed-hours division floors differently than the source column counts (23:30 to 11:30 next day is 0.5 elapsed days but counts as 1).</t>
  </si>
  <si>
    <t>C3</t>
  </si>
  <si>
    <t>On-time rate denominator</t>
  </si>
  <si>
    <t>All order LINES — 57.28% late (94,268 of 164,572).</t>
  </si>
  <si>
    <t>Per-order rate.</t>
  </si>
  <si>
    <t>A 4-line order shipping late currently counts 4 times. Revisit in Project 2; does not affect Project 1.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</si>
  <si>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</si>
  <si>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</si>
  <si>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</si>
  <si>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</si>
  <si>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</si>
  <si>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</si>
  <si>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</si>
  <si>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</si>
  <si>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</si>
  <si>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</si>
  <si>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</si>
  <si>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</si>
  <si>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</si>
  <si>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</si>
  <si>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</si>
  <si>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Grand Total</t>
  </si>
  <si>
    <t>A</t>
  </si>
  <si>
    <t>B</t>
  </si>
  <si>
    <t>C</t>
  </si>
  <si>
    <t>Units</t>
  </si>
  <si>
    <t>Rev cum %</t>
  </si>
  <si>
    <t>Rev class</t>
  </si>
  <si>
    <t>Units cum %</t>
  </si>
  <si>
    <t>Units class</t>
  </si>
  <si>
    <t>Tier gap</t>
  </si>
  <si>
    <t>C4</t>
  </si>
  <si>
    <t>C5</t>
  </si>
  <si>
    <t>C6</t>
  </si>
  <si>
    <t>C7</t>
  </si>
  <si>
    <t>A19</t>
  </si>
  <si>
    <t>A20</t>
  </si>
  <si>
    <t>A21</t>
  </si>
  <si>
    <t>Finding</t>
  </si>
  <si>
    <t>ABC on gross Sales rather than net Order Item Total. Gross chosen for consistency with decision C1; net would shift classification slightly for heavily discounted products. Not tested.</t>
  </si>
  <si>
    <t>B8</t>
  </si>
  <si>
    <t>% of product</t>
  </si>
  <si>
    <t>Revenue</t>
  </si>
  <si>
    <t>% of revenue</t>
  </si>
  <si>
    <t>Class</t>
  </si>
  <si>
    <t>Total</t>
  </si>
  <si>
    <t>% of units</t>
  </si>
  <si>
    <t>I also ran it on units rather than revenue to check whether the revenue view was hiding fast-moving cheap items. It wasn't, because prices in this catalogue are fairly tight, so revenue ranking is mostly tracking volume anyway.</t>
  </si>
  <si>
    <t>Product name</t>
  </si>
  <si>
    <t>Seed days</t>
  </si>
  <si>
    <t>History units</t>
  </si>
  <si>
    <t>Seed on-hand</t>
  </si>
  <si>
    <t>Ending on-hand</t>
  </si>
  <si>
    <t>Sept daily rate</t>
  </si>
  <si>
    <t>Status</t>
  </si>
  <si>
    <t>Days of supply</t>
  </si>
  <si>
    <t>Inactive</t>
  </si>
  <si>
    <t>No recent demand</t>
  </si>
  <si>
    <t>New - no history</t>
  </si>
  <si>
    <t>B5</t>
  </si>
  <si>
    <t xml:space="preserve">	History window 1 Jun – 31 Aug 2017 (92 days), not the full 974-day span. 44 of 100 products were introduced in or after April 2017; a full-span denominator understates their daily rate roughly fivefold.</t>
  </si>
  <si>
    <t>B6</t>
  </si>
  <si>
    <t>B7</t>
  </si>
  <si>
    <t>B9</t>
  </si>
  <si>
    <t>Limitation</t>
  </si>
  <si>
    <t>SigmaMonthly</t>
  </si>
  <si>
    <t>SigmaDaily</t>
  </si>
  <si>
    <t>SS</t>
  </si>
  <si>
    <t>ROP</t>
  </si>
  <si>
    <t>Flag</t>
  </si>
  <si>
    <t>MinVolume</t>
  </si>
  <si>
    <t>ExcessDays</t>
  </si>
  <si>
    <t>AsOf</t>
  </si>
  <si>
    <t>Level</t>
  </si>
  <si>
    <t>Sept units</t>
  </si>
  <si>
    <t>Avg daily demand</t>
  </si>
  <si>
    <t>LT</t>
  </si>
  <si>
    <t>Unit price</t>
  </si>
  <si>
    <t>Z</t>
  </si>
  <si>
    <t>OverStock $</t>
  </si>
  <si>
    <t>Class B is large (57) because the tail is flat. 42 of the 57 are Inactive (no sales since April 2017): they rank on lifetime Sales but get no reorder point in Step 6.</t>
  </si>
  <si>
    <t>DataCo contains order and shipment transactions only — no on-hand balances, no receipts, no stock movements. On-hand stock is SIMULATED (see B7). Every days-of-supply figure and every excess/shortage flag in this workbook derives from that simulation, not from observed stock.</t>
  </si>
  <si>
    <t>Lead time is PROXIED from Days for shipment (scheduled), averaged per product across its orders (2.4–3.5 days; per order the values are 0/1/2/4 by shipping mode). This measures the outbound delivery commitment to the customer, not inbound replenishment from a supplier — the opposite direction from a true purchasing lead time. Treated as a lower bound; 14- and 30-day lead times are tested in Step 7. With ERP data I would use actual PO-to-goods-receipt duration.</t>
  </si>
  <si>
    <t>Superseded. Originally Same Day SKUs carried lead time 0. Averaging per product (B2) gives every product a lead time of 2.4–3.5 days, so no reorder point collapses to safety stock alone.</t>
  </si>
  <si>
    <t>Starting stock = random seed days (6–150, set per product) × trailing-quarter daily demand, depleted by actual September demand; days of supply measured against the September rate. Seed days were randomised so products start at different stock levels, as they would in a real warehouse.</t>
  </si>
  <si>
    <t>Ending on-hand not floored at zero. A negative value means September demand exceeded the seeded stock: 5 products go negative (status "Shortage risk"), 4 of them A-class.</t>
  </si>
  <si>
    <t>Shortage and overstock signals come from the random seed, not from observed stock — which products are flagged is a product of the simulation. What the workbook demonstrates is the detection logic (reorder points and flags), which works for any real on-hand input.</t>
  </si>
  <si>
    <t>Conventional 80% / 95%.</t>
  </si>
  <si>
    <t>80% would have split the 9-product core group (A = 7, two core products in B); 95% falls just past the break.</t>
  </si>
  <si>
    <t>C8</t>
  </si>
  <si>
    <t>Demand variability</t>
  </si>
  <si>
    <t>SigmaMonthly = standard deviation of monthly units, May–Aug 2017. SigmaDaily = SigmaMonthly ÷ √30 (assumes days are independent).</t>
  </si>
  <si>
    <t>12-month window.</t>
  </si>
  <si>
    <t>Products launched in April 2017 would show zero months before launch and inflate their variability. Four points is thin — stated, not hidden.</t>
  </si>
  <si>
    <t>C9</t>
  </si>
  <si>
    <t>Safety stock and reorder point</t>
  </si>
  <si>
    <t>SS = Z × SigmaDaily × √LT, rounded up. ROP = Jun–Aug avg daily demand × LT + SS, rounded up.</t>
  </si>
  <si>
    <t>Fixed days-of-cover buffer (e.g. 7 days for every product).</t>
  </si>
  <si>
    <t>The statistical method sizes each buffer to that product's own demand swings.</t>
  </si>
  <si>
    <t>C10</t>
  </si>
  <si>
    <t>Service levels</t>
  </si>
  <si>
    <t>By ABC class: A 98% (Z 2.05), B 95% (Z 1.64), C 90% (Z 1.28).</t>
  </si>
  <si>
    <t>One 95% level for all products.</t>
  </si>
  <si>
    <t>A items carry ~95% of revenue, so a stockout there costs the most; a lower buffer on C avoids tying up cash in slow stock.</t>
  </si>
  <si>
    <t>C11</t>
  </si>
  <si>
    <t>Excess vs slow-moving</t>
  </si>
  <si>
    <t>Over 90 days of supply = EXCESS only with 20+ September units; otherwise SLOW-MOVING.</t>
  </si>
  <si>
    <t>One "&gt;90 days" flag for all.</t>
  </si>
  <si>
    <t>Days of supply divides by the sales rate, so near-zero rates inflate it. All 19 over-90 products sold under 20 units in September.</t>
  </si>
  <si>
    <t>C12</t>
  </si>
  <si>
    <t>OverStock $ valuation</t>
  </si>
  <si>
    <t>Units beyond 90 days of supply at the September rate × selling price. Products with stock but no September sales count in full.</t>
  </si>
  <si>
    <t>Valuation at cost.</t>
  </si>
  <si>
    <t>DataCo has no cost field, so the dollar value is overstated.</t>
  </si>
  <si>
    <t>Inventory Health Report</t>
  </si>
  <si>
    <t>Overstock value</t>
  </si>
  <si>
    <t>Overstock %</t>
  </si>
  <si>
    <t>A items below ROP</t>
  </si>
  <si>
    <t>Products with no Sept sales</t>
  </si>
  <si>
    <t>BELOW-ROP</t>
  </si>
  <si>
    <t>SLOW-MOVING</t>
  </si>
  <si>
    <t>EXCESS</t>
  </si>
  <si>
    <t>Products</t>
  </si>
  <si>
    <t>Reorder now</t>
  </si>
  <si>
    <t>Product</t>
  </si>
  <si>
    <t>Units short</t>
  </si>
  <si>
    <t>Top 10 overstock</t>
  </si>
  <si>
    <t>Lead-time scenarios</t>
  </si>
  <si>
    <t>Current (~3)</t>
  </si>
  <si>
    <t>(of 40 active products)</t>
  </si>
  <si>
    <t>Products below ROP</t>
  </si>
  <si>
    <t>Assumptions: On-hand stock is simulated (random 6–150 seed days). Lead time = scheduled shipping days (~3), a lower bound.</t>
  </si>
  <si>
    <t>Service levels A 98% / B 95% / C 90%. OverStock $ at selling price (no cost data). Full detail in Data Notes.</t>
  </si>
  <si>
    <t>The dataset is about 165,000 order lines across 100 products over nearly three years. I wanted to know which products actually deserve close inventory attention, so I ran an ABC classification, ranked every product by revenue, built a cumulative percentage, and cut at the 94 and 99 thresholds.</t>
  </si>
  <si>
    <t>9 products out of 100 came out A class, carrying 94% of revenue. So roughly 9% of the catalogue drives four-fifths of the business, and those are the items I'd cycle-count weekly and forecast closely. The C tier is 34 products at 5% of revenue, bigger order quantities, quarterly review, not worth the same attention.</t>
  </si>
  <si>
    <t>ABC cutoffs: A &lt; 94%, B &lt; 99% of cumulative Sales. The curve shows a clear break after 9 products (94.57%), a smaller step at 90.87%, then a flat tail. A is set at the break; B/C at 99% is a convention because the tail has no natural break.</t>
  </si>
  <si>
    <t>Class boundary handling: each class is set from the previous row's cumulative %, so the product that crosses a threshold is included in the tier it completes. A ends at the 9th product (cumulative 94.57%).</t>
  </si>
  <si>
    <t>A / B / C counts on revenue: 9 / 57 / 34. Actual cumulative % at the A boundary: 94.57%. The units ABC, cut at its own break (88.3%), gives the same 9 A products.</t>
  </si>
  <si>
    <t>Classification basis: revenue (Sales, gross). A units ABC (Order Item Quantity) is run in parallel for comparison only; revenue class drives everything downstream.</t>
  </si>
  <si>
    <t>Units ABC on conventional 80% / 95% cutoffs.</t>
  </si>
  <si>
    <t>Units cutoffs set at the units curve's own breaks: A at 88.3% (13.6× drop after product 9 — the same 9 A products as revenue), B/C at 98.8% (3.2× drop after product 54, which coincides with the pre-April-2017 catalogue cohort). 80% would have split the core group, as on revenue.</t>
  </si>
  <si>
    <t>C13</t>
  </si>
  <si>
    <t>14 and 30 days are illustrative what-if values, not observed or sourced figures.</t>
  </si>
  <si>
    <t>None - the dataset has no supplier lead times.</t>
  </si>
  <si>
    <t>Tests how sensitive the shortage count is to the ~3-day proxy in B2: products below ROP rise from 11 (current) to 16 (14 days) and 21 (30 days) of 40 active.</t>
  </si>
  <si>
    <t>Lead time (days, assumed)</t>
  </si>
  <si>
    <t>Inventory value</t>
  </si>
  <si>
    <t>On hand</t>
  </si>
  <si>
    <t>Product ID</t>
  </si>
  <si>
    <t>Revenue ($)</t>
  </si>
  <si>
    <t>Cumulative revenue ($)</t>
  </si>
  <si>
    <t>Cumulative % (revenue)</t>
  </si>
  <si>
    <t>Cumulative units</t>
  </si>
  <si>
    <t>Cumulative % (units)</t>
  </si>
  <si>
    <t>Source pivots for the ABC classification - sorted by revenue (left) and by units (right). Final classes are in ABC Analysis combined.</t>
  </si>
  <si>
    <t>Simulated on-hand: one row per product (Steps 5–6)</t>
  </si>
  <si>
    <t>Units (of these products)</t>
  </si>
  <si>
    <t>Yeo / October 2026</t>
  </si>
  <si>
    <t>Units by product and month</t>
  </si>
  <si>
    <t>Month</t>
  </si>
  <si>
    <t>Keyed on Product Card Id, not Product Name(shown as Product ID throughout the workbook). Verified 1:1 at 100 distinct values of each.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</si>
</sst>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%"/>
    <numFmt numFmtId="165" formatCode="0.0"/>
    <numFmt numFmtId="166" formatCode="[$-409]d\-mmm\-yyyy;@"/>
    <numFmt numFmtId="167" formatCode="&quot;$&quot;#,##0.00"/>
    <numFmt numFmtId="168" formatCode="#,##0;[Red]\-#,##0"/>
    <numFmt numFmtId="169" formatCode="&quot;$&quot;#,##0"/>
  </numFmts>
  <fonts count="21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Aptos Narrow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ptos Narrow"/>
      <scheme val="minor"/>
    </font>
    <font>
      <sz val="12"/>
      <color rgb="FF333333"/>
      <name val="Ubuntu"/>
    </font>
    <font>
      <sz val="11"/>
      <color theme="2" tint="-0.499984740745262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333333"/>
      <name val="Ubuntu"/>
    </font>
    <font>
      <sz val="11"/>
      <color theme="1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1" applyFont="1" applyAlignment="1">
      <alignment horizontal="center"/>
    </xf>
    <xf numFmtId="167" fontId="6" fillId="0" borderId="0" xfId="2" applyNumberFormat="1" applyFont="1"/>
    <xf numFmtId="167" fontId="0" fillId="0" borderId="0" xfId="2" applyNumberFormat="1" applyFont="1"/>
    <xf numFmtId="167" fontId="5" fillId="0" borderId="0" xfId="2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7" fillId="0" borderId="0" xfId="0" applyFont="1"/>
    <xf numFmtId="167" fontId="7" fillId="0" borderId="0" xfId="2" applyNumberFormat="1" applyFont="1"/>
    <xf numFmtId="0" fontId="7" fillId="0" borderId="0" xfId="0" applyFont="1" applyAlignment="1">
      <alignment horizontal="right"/>
    </xf>
    <xf numFmtId="167" fontId="7" fillId="0" borderId="0" xfId="0" applyNumberFormat="1" applyFont="1"/>
    <xf numFmtId="0" fontId="8" fillId="0" borderId="2" xfId="0" applyFont="1" applyBorder="1"/>
    <xf numFmtId="167" fontId="4" fillId="0" borderId="0" xfId="2" applyNumberFormat="1" applyFont="1"/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 wrapText="1"/>
    </xf>
    <xf numFmtId="9" fontId="7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10" fontId="7" fillId="0" borderId="0" xfId="0" applyNumberFormat="1" applyFont="1"/>
    <xf numFmtId="0" fontId="14" fillId="0" borderId="0" xfId="0" applyFont="1"/>
    <xf numFmtId="164" fontId="7" fillId="0" borderId="0" xfId="1" applyNumberFormat="1" applyFont="1"/>
    <xf numFmtId="3" fontId="7" fillId="0" borderId="0" xfId="0" applyNumberFormat="1" applyFont="1"/>
    <xf numFmtId="164" fontId="7" fillId="0" borderId="0" xfId="1" applyNumberFormat="1" applyFont="1" applyAlignment="1">
      <alignment horizontal="center"/>
    </xf>
    <xf numFmtId="9" fontId="7" fillId="0" borderId="0" xfId="1" applyFont="1" applyAlignment="1">
      <alignment horizontal="center"/>
    </xf>
    <xf numFmtId="2" fontId="7" fillId="0" borderId="0" xfId="0" applyNumberFormat="1" applyFont="1"/>
    <xf numFmtId="9" fontId="7" fillId="0" borderId="0" xfId="1" applyFont="1" applyAlignment="1">
      <alignment horizontal="right"/>
    </xf>
    <xf numFmtId="167" fontId="7" fillId="0" borderId="0" xfId="1" applyNumberFormat="1" applyFont="1"/>
    <xf numFmtId="9" fontId="7" fillId="0" borderId="0" xfId="1" applyFont="1"/>
    <xf numFmtId="0" fontId="15" fillId="0" borderId="0" xfId="0" applyFont="1"/>
    <xf numFmtId="14" fontId="15" fillId="0" borderId="0" xfId="0" applyNumberFormat="1" applyFont="1"/>
    <xf numFmtId="0" fontId="15" fillId="0" borderId="0" xfId="0" applyFont="1" applyAlignment="1">
      <alignment horizontal="right"/>
    </xf>
    <xf numFmtId="167" fontId="15" fillId="0" borderId="0" xfId="0" applyNumberFormat="1" applyFont="1"/>
    <xf numFmtId="2" fontId="15" fillId="0" borderId="0" xfId="0" applyNumberFormat="1" applyFont="1"/>
    <xf numFmtId="0" fontId="12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1" fontId="15" fillId="0" borderId="0" xfId="0" applyNumberFormat="1" applyFont="1"/>
    <xf numFmtId="168" fontId="15" fillId="0" borderId="0" xfId="0" applyNumberFormat="1" applyFont="1"/>
    <xf numFmtId="165" fontId="15" fillId="0" borderId="0" xfId="0" applyNumberFormat="1" applyFont="1" applyAlignment="1">
      <alignment horizontal="right"/>
    </xf>
    <xf numFmtId="0" fontId="16" fillId="2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8" fillId="0" borderId="0" xfId="0" applyFont="1"/>
    <xf numFmtId="0" fontId="19" fillId="0" borderId="0" xfId="0" applyFont="1"/>
    <xf numFmtId="169" fontId="15" fillId="0" borderId="0" xfId="0" applyNumberFormat="1" applyFont="1"/>
    <xf numFmtId="3" fontId="15" fillId="0" borderId="0" xfId="0" applyNumberFormat="1" applyFont="1"/>
    <xf numFmtId="0" fontId="18" fillId="0" borderId="0" xfId="0" applyFont="1" applyAlignment="1">
      <alignment horizontal="left"/>
    </xf>
    <xf numFmtId="167" fontId="7" fillId="0" borderId="0" xfId="2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6" fillId="2" borderId="0" xfId="0" applyFont="1" applyFill="1" applyAlignment="1">
      <alignment horizontal="right"/>
    </xf>
    <xf numFmtId="17" fontId="16" fillId="2" borderId="0" xfId="0" applyNumberFormat="1" applyFont="1" applyFill="1" applyAlignment="1">
      <alignment horizontal="right"/>
    </xf>
    <xf numFmtId="0" fontId="18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167" fontId="12" fillId="3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6" fillId="2" borderId="0" xfId="0" applyFont="1" applyFill="1" applyAlignment="1">
      <alignment horizontal="left" wrapText="1"/>
    </xf>
    <xf numFmtId="169" fontId="3" fillId="0" borderId="0" xfId="2" applyNumberFormat="1" applyFont="1" applyAlignment="1">
      <alignment horizontal="center"/>
    </xf>
    <xf numFmtId="169" fontId="7" fillId="0" borderId="0" xfId="2" applyNumberFormat="1" applyFont="1"/>
    <xf numFmtId="169" fontId="7" fillId="0" borderId="0" xfId="0" applyNumberFormat="1" applyFont="1"/>
    <xf numFmtId="0" fontId="7" fillId="0" borderId="0" xfId="0" applyFont="1" applyAlignment="1">
      <alignment horizontal="center" wrapText="1"/>
    </xf>
    <xf numFmtId="0" fontId="20" fillId="0" borderId="0" xfId="0" applyFont="1"/>
  </cellXfs>
  <cellStyles count="3">
    <cellStyle name="Currency" xfId="2" builtinId="4"/>
    <cellStyle name="Normal" xfId="0" builtinId="0"/>
    <cellStyle name="Percent" xfId="1" builtinId="5"/>
  </cellStyles>
  <dxfs count="54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9" formatCode="&quot;$&quot;#,##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8" formatCode="#,##0;[Red]\-#,##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0.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&quot;$&quot;#,##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E6C31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9 of 100 products drive 94.6% of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'ABC Analysis combined'!$A$2:$A$101</c:f>
              <c:numCache>
                <c:formatCode>General</c:formatCode>
                <c:ptCount val="100"/>
                <c:pt idx="0">
                  <c:v>1004</c:v>
                </c:pt>
                <c:pt idx="1">
                  <c:v>365</c:v>
                </c:pt>
                <c:pt idx="2">
                  <c:v>957</c:v>
                </c:pt>
                <c:pt idx="3">
                  <c:v>191</c:v>
                </c:pt>
                <c:pt idx="4">
                  <c:v>502</c:v>
                </c:pt>
                <c:pt idx="5">
                  <c:v>1073</c:v>
                </c:pt>
                <c:pt idx="6">
                  <c:v>1014</c:v>
                </c:pt>
                <c:pt idx="7">
                  <c:v>403</c:v>
                </c:pt>
                <c:pt idx="8">
                  <c:v>627</c:v>
                </c:pt>
                <c:pt idx="9">
                  <c:v>565</c:v>
                </c:pt>
                <c:pt idx="10">
                  <c:v>728</c:v>
                </c:pt>
                <c:pt idx="11">
                  <c:v>44</c:v>
                </c:pt>
                <c:pt idx="12">
                  <c:v>823</c:v>
                </c:pt>
                <c:pt idx="13">
                  <c:v>249</c:v>
                </c:pt>
                <c:pt idx="14">
                  <c:v>116</c:v>
                </c:pt>
                <c:pt idx="15">
                  <c:v>821</c:v>
                </c:pt>
                <c:pt idx="16">
                  <c:v>818</c:v>
                </c:pt>
                <c:pt idx="17">
                  <c:v>822</c:v>
                </c:pt>
                <c:pt idx="18">
                  <c:v>278</c:v>
                </c:pt>
                <c:pt idx="19">
                  <c:v>572</c:v>
                </c:pt>
                <c:pt idx="20">
                  <c:v>771</c:v>
                </c:pt>
                <c:pt idx="21">
                  <c:v>977</c:v>
                </c:pt>
                <c:pt idx="22">
                  <c:v>235</c:v>
                </c:pt>
                <c:pt idx="23">
                  <c:v>835</c:v>
                </c:pt>
                <c:pt idx="24">
                  <c:v>828</c:v>
                </c:pt>
                <c:pt idx="25">
                  <c:v>276</c:v>
                </c:pt>
                <c:pt idx="26">
                  <c:v>642</c:v>
                </c:pt>
                <c:pt idx="27">
                  <c:v>282</c:v>
                </c:pt>
                <c:pt idx="28">
                  <c:v>37</c:v>
                </c:pt>
                <c:pt idx="29">
                  <c:v>172</c:v>
                </c:pt>
                <c:pt idx="30">
                  <c:v>564</c:v>
                </c:pt>
                <c:pt idx="31">
                  <c:v>825</c:v>
                </c:pt>
                <c:pt idx="32">
                  <c:v>885</c:v>
                </c:pt>
                <c:pt idx="33">
                  <c:v>724</c:v>
                </c:pt>
                <c:pt idx="34">
                  <c:v>893</c:v>
                </c:pt>
                <c:pt idx="35">
                  <c:v>906</c:v>
                </c:pt>
                <c:pt idx="36">
                  <c:v>273</c:v>
                </c:pt>
                <c:pt idx="37">
                  <c:v>905</c:v>
                </c:pt>
                <c:pt idx="38">
                  <c:v>646</c:v>
                </c:pt>
                <c:pt idx="39">
                  <c:v>886</c:v>
                </c:pt>
                <c:pt idx="40">
                  <c:v>567</c:v>
                </c:pt>
                <c:pt idx="41">
                  <c:v>778</c:v>
                </c:pt>
                <c:pt idx="42">
                  <c:v>93</c:v>
                </c:pt>
                <c:pt idx="43">
                  <c:v>359</c:v>
                </c:pt>
                <c:pt idx="44">
                  <c:v>917</c:v>
                </c:pt>
                <c:pt idx="45">
                  <c:v>897</c:v>
                </c:pt>
                <c:pt idx="46">
                  <c:v>134</c:v>
                </c:pt>
                <c:pt idx="47">
                  <c:v>258</c:v>
                </c:pt>
                <c:pt idx="48">
                  <c:v>135</c:v>
                </c:pt>
                <c:pt idx="49">
                  <c:v>251</c:v>
                </c:pt>
                <c:pt idx="50">
                  <c:v>607</c:v>
                </c:pt>
                <c:pt idx="51">
                  <c:v>677</c:v>
                </c:pt>
                <c:pt idx="52">
                  <c:v>24</c:v>
                </c:pt>
                <c:pt idx="53">
                  <c:v>78</c:v>
                </c:pt>
                <c:pt idx="54">
                  <c:v>804</c:v>
                </c:pt>
                <c:pt idx="55">
                  <c:v>295</c:v>
                </c:pt>
                <c:pt idx="56">
                  <c:v>703</c:v>
                </c:pt>
                <c:pt idx="57">
                  <c:v>981</c:v>
                </c:pt>
                <c:pt idx="58">
                  <c:v>306</c:v>
                </c:pt>
                <c:pt idx="59">
                  <c:v>777</c:v>
                </c:pt>
                <c:pt idx="60">
                  <c:v>797</c:v>
                </c:pt>
                <c:pt idx="61">
                  <c:v>730</c:v>
                </c:pt>
                <c:pt idx="62">
                  <c:v>810</c:v>
                </c:pt>
                <c:pt idx="63">
                  <c:v>926</c:v>
                </c:pt>
                <c:pt idx="64">
                  <c:v>1059</c:v>
                </c:pt>
                <c:pt idx="65">
                  <c:v>924</c:v>
                </c:pt>
                <c:pt idx="66">
                  <c:v>303</c:v>
                </c:pt>
                <c:pt idx="67">
                  <c:v>671</c:v>
                </c:pt>
                <c:pt idx="68">
                  <c:v>305</c:v>
                </c:pt>
                <c:pt idx="69">
                  <c:v>203</c:v>
                </c:pt>
                <c:pt idx="70">
                  <c:v>773</c:v>
                </c:pt>
                <c:pt idx="71">
                  <c:v>793</c:v>
                </c:pt>
                <c:pt idx="72">
                  <c:v>792</c:v>
                </c:pt>
                <c:pt idx="73">
                  <c:v>208</c:v>
                </c:pt>
                <c:pt idx="74">
                  <c:v>625</c:v>
                </c:pt>
                <c:pt idx="75">
                  <c:v>216</c:v>
                </c:pt>
                <c:pt idx="76">
                  <c:v>786</c:v>
                </c:pt>
                <c:pt idx="77">
                  <c:v>858</c:v>
                </c:pt>
                <c:pt idx="78">
                  <c:v>364</c:v>
                </c:pt>
                <c:pt idx="79">
                  <c:v>691</c:v>
                </c:pt>
                <c:pt idx="80">
                  <c:v>743</c:v>
                </c:pt>
                <c:pt idx="81">
                  <c:v>35</c:v>
                </c:pt>
                <c:pt idx="82">
                  <c:v>768</c:v>
                </c:pt>
                <c:pt idx="83">
                  <c:v>845</c:v>
                </c:pt>
                <c:pt idx="84">
                  <c:v>666</c:v>
                </c:pt>
                <c:pt idx="85">
                  <c:v>647</c:v>
                </c:pt>
                <c:pt idx="86">
                  <c:v>982</c:v>
                </c:pt>
                <c:pt idx="87">
                  <c:v>715</c:v>
                </c:pt>
                <c:pt idx="88">
                  <c:v>775</c:v>
                </c:pt>
                <c:pt idx="89">
                  <c:v>58</c:v>
                </c:pt>
                <c:pt idx="90">
                  <c:v>127</c:v>
                </c:pt>
                <c:pt idx="91">
                  <c:v>705</c:v>
                </c:pt>
                <c:pt idx="92">
                  <c:v>19</c:v>
                </c:pt>
                <c:pt idx="93">
                  <c:v>61</c:v>
                </c:pt>
                <c:pt idx="94">
                  <c:v>725</c:v>
                </c:pt>
                <c:pt idx="95">
                  <c:v>652</c:v>
                </c:pt>
                <c:pt idx="96">
                  <c:v>311</c:v>
                </c:pt>
                <c:pt idx="97">
                  <c:v>226</c:v>
                </c:pt>
                <c:pt idx="98">
                  <c:v>860</c:v>
                </c:pt>
                <c:pt idx="99">
                  <c:v>60</c:v>
                </c:pt>
              </c:numCache>
            </c:numRef>
          </c:cat>
          <c:val>
            <c:numRef>
              <c:f>'ABC Analysis combined'!$C$2:$C$101</c:f>
              <c:numCache>
                <c:formatCode>0.0%</c:formatCode>
                <c:ptCount val="100"/>
                <c:pt idx="0">
                  <c:v>0.20225747440020944</c:v>
                </c:pt>
                <c:pt idx="1">
                  <c:v>0.33116327454589056</c:v>
                </c:pt>
                <c:pt idx="2">
                  <c:v>0.45139955845378943</c:v>
                </c:pt>
                <c:pt idx="3">
                  <c:v>0.55818018488242993</c:v>
                </c:pt>
                <c:pt idx="4">
                  <c:v>0.64991121730611212</c:v>
                </c:pt>
                <c:pt idx="5">
                  <c:v>0.74027444056422109</c:v>
                </c:pt>
                <c:pt idx="6">
                  <c:v>0.82451634724226619</c:v>
                </c:pt>
                <c:pt idx="7">
                  <c:v>0.90869521646165441</c:v>
                </c:pt>
                <c:pt idx="8">
                  <c:v>0.9457175180405174</c:v>
                </c:pt>
                <c:pt idx="9">
                  <c:v>0.94765388245471416</c:v>
                </c:pt>
                <c:pt idx="10">
                  <c:v>0.94944400545504926</c:v>
                </c:pt>
                <c:pt idx="11">
                  <c:v>0.95111261790084933</c:v>
                </c:pt>
                <c:pt idx="12">
                  <c:v>0.95250162895773349</c:v>
                </c:pt>
                <c:pt idx="13">
                  <c:v>0.95384954723127879</c:v>
                </c:pt>
                <c:pt idx="14">
                  <c:v>0.9551585668015764</c:v>
                </c:pt>
                <c:pt idx="15">
                  <c:v>0.95645878263122686</c:v>
                </c:pt>
                <c:pt idx="16">
                  <c:v>0.95770140798755776</c:v>
                </c:pt>
                <c:pt idx="17">
                  <c:v>0.9588386516897357</c:v>
                </c:pt>
                <c:pt idx="18">
                  <c:v>0.95990205857526234</c:v>
                </c:pt>
                <c:pt idx="19">
                  <c:v>0.96092534011314468</c:v>
                </c:pt>
                <c:pt idx="20">
                  <c:v>0.96193398591507684</c:v>
                </c:pt>
                <c:pt idx="21">
                  <c:v>0.96281662984927729</c:v>
                </c:pt>
                <c:pt idx="22">
                  <c:v>0.96368529044657114</c:v>
                </c:pt>
                <c:pt idx="23">
                  <c:v>0.96455069588974718</c:v>
                </c:pt>
                <c:pt idx="24">
                  <c:v>0.96540536913569686</c:v>
                </c:pt>
                <c:pt idx="25">
                  <c:v>0.96625321279958165</c:v>
                </c:pt>
                <c:pt idx="26">
                  <c:v>0.96706752891013537</c:v>
                </c:pt>
                <c:pt idx="27">
                  <c:v>0.96786073592827482</c:v>
                </c:pt>
                <c:pt idx="28">
                  <c:v>0.96865042737953055</c:v>
                </c:pt>
                <c:pt idx="29">
                  <c:v>0.96943546470858122</c:v>
                </c:pt>
                <c:pt idx="30">
                  <c:v>0.97021226738033406</c:v>
                </c:pt>
                <c:pt idx="31">
                  <c:v>0.9709537647145009</c:v>
                </c:pt>
                <c:pt idx="32">
                  <c:v>0.9716549549264335</c:v>
                </c:pt>
                <c:pt idx="33">
                  <c:v>0.97232592700254517</c:v>
                </c:pt>
                <c:pt idx="34">
                  <c:v>0.97299358203183994</c:v>
                </c:pt>
                <c:pt idx="35">
                  <c:v>0.9736574262423594</c:v>
                </c:pt>
                <c:pt idx="36">
                  <c:v>0.9743053537764057</c:v>
                </c:pt>
                <c:pt idx="37">
                  <c:v>0.97495014390748458</c:v>
                </c:pt>
                <c:pt idx="38">
                  <c:v>0.97558140450103426</c:v>
                </c:pt>
                <c:pt idx="39">
                  <c:v>0.9762109513654561</c:v>
                </c:pt>
                <c:pt idx="40">
                  <c:v>0.97683541287720099</c:v>
                </c:pt>
                <c:pt idx="41">
                  <c:v>0.97745047863865486</c:v>
                </c:pt>
                <c:pt idx="42">
                  <c:v>0.97805792276795644</c:v>
                </c:pt>
                <c:pt idx="43">
                  <c:v>0.97866478681572255</c:v>
                </c:pt>
                <c:pt idx="44">
                  <c:v>0.97926503385267505</c:v>
                </c:pt>
                <c:pt idx="45">
                  <c:v>0.97986409418637166</c:v>
                </c:pt>
                <c:pt idx="46">
                  <c:v>0.98044966981643278</c:v>
                </c:pt>
                <c:pt idx="47">
                  <c:v>0.98102618762873783</c:v>
                </c:pt>
                <c:pt idx="48">
                  <c:v>0.98159517194928048</c:v>
                </c:pt>
                <c:pt idx="49">
                  <c:v>0.98216330017162268</c:v>
                </c:pt>
                <c:pt idx="50">
                  <c:v>0.98272750413352339</c:v>
                </c:pt>
                <c:pt idx="51">
                  <c:v>0.98329167422644581</c:v>
                </c:pt>
                <c:pt idx="52">
                  <c:v>0.98385278072404247</c:v>
                </c:pt>
                <c:pt idx="53">
                  <c:v>0.98440475254696702</c:v>
                </c:pt>
                <c:pt idx="54">
                  <c:v>0.98495345520568556</c:v>
                </c:pt>
                <c:pt idx="55">
                  <c:v>0.98549910951713138</c:v>
                </c:pt>
                <c:pt idx="56">
                  <c:v>0.98602647373913632</c:v>
                </c:pt>
                <c:pt idx="57">
                  <c:v>0.98654580612604681</c:v>
                </c:pt>
                <c:pt idx="58">
                  <c:v>0.98705629815270557</c:v>
                </c:pt>
                <c:pt idx="59">
                  <c:v>0.98755153562555231</c:v>
                </c:pt>
                <c:pt idx="60">
                  <c:v>0.98802065032168607</c:v>
                </c:pt>
                <c:pt idx="61">
                  <c:v>0.98848179113035917</c:v>
                </c:pt>
                <c:pt idx="62">
                  <c:v>0.98893416598882877</c:v>
                </c:pt>
                <c:pt idx="63">
                  <c:v>0.98936283204797426</c:v>
                </c:pt>
                <c:pt idx="64">
                  <c:v>0.98978980206677936</c:v>
                </c:pt>
                <c:pt idx="65">
                  <c:v>0.99019652276413417</c:v>
                </c:pt>
                <c:pt idx="66">
                  <c:v>0.99059909593535678</c:v>
                </c:pt>
                <c:pt idx="67">
                  <c:v>0.9909961705106789</c:v>
                </c:pt>
                <c:pt idx="68">
                  <c:v>0.99139067159270189</c:v>
                </c:pt>
                <c:pt idx="69">
                  <c:v>0.99178104557691771</c:v>
                </c:pt>
                <c:pt idx="70">
                  <c:v>0.99216988884795743</c:v>
                </c:pt>
                <c:pt idx="71">
                  <c:v>0.9925520879565124</c:v>
                </c:pt>
                <c:pt idx="72">
                  <c:v>0.99292971530510798</c:v>
                </c:pt>
                <c:pt idx="73">
                  <c:v>0.99329569824214248</c:v>
                </c:pt>
                <c:pt idx="74">
                  <c:v>0.99365556528042975</c:v>
                </c:pt>
                <c:pt idx="75">
                  <c:v>0.99401294940715146</c:v>
                </c:pt>
                <c:pt idx="76">
                  <c:v>0.99435878581002379</c:v>
                </c:pt>
                <c:pt idx="77">
                  <c:v>0.99470035452433048</c:v>
                </c:pt>
                <c:pt idx="78">
                  <c:v>0.99502972982593685</c:v>
                </c:pt>
                <c:pt idx="79">
                  <c:v>0.9953517561613644</c:v>
                </c:pt>
                <c:pt idx="80">
                  <c:v>0.9956680094050655</c:v>
                </c:pt>
                <c:pt idx="81">
                  <c:v>0.99597053791511736</c:v>
                </c:pt>
                <c:pt idx="82">
                  <c:v>0.99627246527492308</c:v>
                </c:pt>
                <c:pt idx="83">
                  <c:v>0.99655609400686196</c:v>
                </c:pt>
                <c:pt idx="84">
                  <c:v>0.99683452209918577</c:v>
                </c:pt>
                <c:pt idx="85">
                  <c:v>0.99711036269574904</c:v>
                </c:pt>
                <c:pt idx="86">
                  <c:v>0.99737568397358578</c:v>
                </c:pt>
                <c:pt idx="87">
                  <c:v>0.99763337843500233</c:v>
                </c:pt>
                <c:pt idx="88">
                  <c:v>0.99789083499362619</c:v>
                </c:pt>
                <c:pt idx="89">
                  <c:v>0.99814701578376452</c:v>
                </c:pt>
                <c:pt idx="90">
                  <c:v>0.99839862268015145</c:v>
                </c:pt>
                <c:pt idx="91">
                  <c:v>0.99864747157943534</c:v>
                </c:pt>
                <c:pt idx="92">
                  <c:v>0.99888762986571722</c:v>
                </c:pt>
                <c:pt idx="93">
                  <c:v>0.99912551202798849</c:v>
                </c:pt>
                <c:pt idx="94">
                  <c:v>0.99936267015816316</c:v>
                </c:pt>
                <c:pt idx="95">
                  <c:v>0.99957675478764785</c:v>
                </c:pt>
                <c:pt idx="96">
                  <c:v>0.99973771488442253</c:v>
                </c:pt>
                <c:pt idx="97">
                  <c:v>0.999865807416495</c:v>
                </c:pt>
                <c:pt idx="98">
                  <c:v>0.99993900314910789</c:v>
                </c:pt>
                <c:pt idx="99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DF-FB4C-9904-2F6E30850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083903"/>
        <c:axId val="1051313472"/>
      </c:lineChart>
      <c:catAx>
        <c:axId val="93408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Producr</a:t>
                </a:r>
                <a:r>
                  <a:rPr lang="en-US" baseline="0"/>
                  <a:t> card ID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13472"/>
        <c:crosses val="autoZero"/>
        <c:auto val="1"/>
        <c:lblAlgn val="ctr"/>
        <c:lblOffset val="100"/>
        <c:noMultiLvlLbl val="0"/>
      </c:catAx>
      <c:valAx>
        <c:axId val="105131347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 cum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083903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BD-9444-949B-EF44DE20583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ABD-9444-949B-EF44DE20583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ABD-9444-949B-EF44DE20583A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BD-9444-949B-EF44DE20583A}"/>
              </c:ext>
            </c:extLst>
          </c:dPt>
          <c:cat>
            <c:strRef>
              <c:f>Summary!$A$9:$A$13</c:f>
              <c:strCache>
                <c:ptCount val="5"/>
                <c:pt idx="0">
                  <c:v>BELOW-ROP</c:v>
                </c:pt>
                <c:pt idx="1">
                  <c:v>SLOW-MOVING</c:v>
                </c:pt>
                <c:pt idx="2">
                  <c:v>EXCESS</c:v>
                </c:pt>
                <c:pt idx="3">
                  <c:v>No recent demand</c:v>
                </c:pt>
                <c:pt idx="4">
                  <c:v>OK</c:v>
                </c:pt>
              </c:strCache>
            </c:strRef>
          </c:cat>
          <c:val>
            <c:numRef>
              <c:f>Summary!$B$9:$B$13</c:f>
              <c:numCache>
                <c:formatCode>General</c:formatCode>
                <c:ptCount val="5"/>
                <c:pt idx="0">
                  <c:v>11</c:v>
                </c:pt>
                <c:pt idx="1">
                  <c:v>19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D-9444-949B-EF44DE205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84672"/>
        <c:axId val="1486476543"/>
      </c:barChart>
      <c:catAx>
        <c:axId val="1708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76543"/>
        <c:crosses val="autoZero"/>
        <c:auto val="1"/>
        <c:lblAlgn val="ctr"/>
        <c:lblOffset val="100"/>
        <c:noMultiLvlLbl val="0"/>
      </c:catAx>
      <c:valAx>
        <c:axId val="148647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520700</xdr:colOff>
      <xdr:row>7</xdr:row>
      <xdr:rowOff>76200</xdr:rowOff>
    </xdr:from>
    <xdr:to>
      <xdr:col>17</xdr:col>
      <xdr:colOff>533400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AA4FE-803F-F4D7-9F63-61D4D4242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5</xdr:row>
      <xdr:rowOff>152400</xdr:rowOff>
    </xdr:from>
    <xdr:to>
      <xdr:col>9</xdr:col>
      <xdr:colOff>469900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C900B-3BE5-7328-5C68-5177ED49C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168058-200D-A141-9C32-937382C57B18}" name="Table3" displayName="Table3" ref="A1:H101" totalsRowShown="0" headerRowDxfId="53" dataDxfId="52">
  <autoFilter ref="A1:H101" xr:uid="{33168058-200D-A141-9C32-937382C57B18}"/>
  <sortState xmlns:xlrd2="http://schemas.microsoft.com/office/spreadsheetml/2017/richdata2" ref="A2:H101">
    <sortCondition descending="1" ref="B1:B101"/>
  </sortState>
  <tableColumns count="8">
    <tableColumn id="1" xr3:uid="{87820DB8-ED72-404E-B38B-D8B7B1133BAB}" name="Product ID" dataDxfId="51"/>
    <tableColumn id="2" xr3:uid="{2760991B-C69E-5640-8AB0-1CB9893E7587}" name="Sales" dataDxfId="50"/>
    <tableColumn id="3" xr3:uid="{C1F242CE-67DF-4040-83BD-EA7620F12221}" name="Rev cum %" dataDxfId="49" dataCellStyle="Percent"/>
    <tableColumn id="4" xr3:uid="{D1C18AA8-5980-3748-B7B6-4AE97E453450}" name="Rev class" dataDxfId="48" dataCellStyle="Percent"/>
    <tableColumn id="5" xr3:uid="{492F970D-6845-6F4B-8849-7E7950FAA664}" name="Units" dataDxfId="47">
      <calculatedColumnFormula>_xlfn.XLOOKUP(A2,'ABC Analysis'!$G:$G,'ABC Analysis'!H:H,,0)</calculatedColumnFormula>
    </tableColumn>
    <tableColumn id="6" xr3:uid="{D1FE3719-EEC9-5248-978E-9927FC8616AC}" name="Units cum %" dataDxfId="46" dataCellStyle="Percent">
      <calculatedColumnFormula>_xlfn.XLOOKUP(A2,'ABC Analysis'!G:G,'ABC Analysis'!J:J,,0)</calculatedColumnFormula>
    </tableColumn>
    <tableColumn id="7" xr3:uid="{716374C6-6F33-6944-AD7E-BB94224A5EDA}" name="Units class" dataDxfId="45">
      <calculatedColumnFormula>_xlfn.LET(_xlpm.prev,Table3[[#This Row],[Units cum %]]-Table3[[#This Row],[Units]]/SUM(Table3[Units]),IF(_xlpm.prev&lt;0.88,"A",IF(_xlpm.prev&lt;0.987,"B","C")))</calculatedColumnFormula>
    </tableColumn>
    <tableColumn id="8" xr3:uid="{0F8E8D18-3CA2-104C-8426-5D6E60EA416A}" name="Tier gap" dataDxfId="44">
      <calculatedColumnFormula>ABS(CODE(Table3[[#This Row],[Rev class]])-CODE(Table3[[#This Row],[Units class]]))</calculatedColumnFormula>
    </tableColumn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755D38-65CC-5544-ACEF-F73A450B9B1D}" name="Table5" displayName="Table5" ref="K1:Q5" totalsRowCount="1" headerRowDxfId="43" dataDxfId="42" totalsRowDxfId="41">
  <autoFilter ref="K1:Q4" xr:uid="{95755D38-65CC-5544-ACEF-F73A450B9B1D}"/>
  <tableColumns count="7">
    <tableColumn id="1" xr3:uid="{AEACC4C8-8B5B-E84B-A005-BA19F0329BA0}" name="Rev class" totalsRowLabel="Total" dataDxfId="40" totalsRowDxfId="39"/>
    <tableColumn id="2" xr3:uid="{64AEC132-D039-2944-A333-67901752F564}" name="Products" totalsRowFunction="custom" dataDxfId="38" totalsRowDxfId="37">
      <totalsRowFormula>SUM(Table5[Products])</totalsRowFormula>
    </tableColumn>
    <tableColumn id="3" xr3:uid="{650940D8-9EB0-C248-B929-76025A4013EC}" name="% of product" totalsRowFunction="custom" dataDxfId="36" totalsRowDxfId="35">
      <calculatedColumnFormula>L2/100</calculatedColumnFormula>
      <totalsRowFormula>SUM(Table5[% of product])</totalsRowFormula>
    </tableColumn>
    <tableColumn id="4" xr3:uid="{1C3A52B4-1315-1A49-847F-2B107BF640E0}" name="Revenue" totalsRowFunction="custom" dataDxfId="34" totalsRowDxfId="33">
      <totalsRowFormula>SUM(Table5[Revenue])</totalsRowFormula>
    </tableColumn>
    <tableColumn id="5" xr3:uid="{B3E16618-B7B3-BE4D-BEF5-A57B0265BAD1}" name="% of revenue" totalsRowFunction="custom" dataDxfId="32" totalsRowDxfId="31" dataCellStyle="Percent">
      <calculatedColumnFormula>N2/(SUM(Table3[Sales]))</calculatedColumnFormula>
      <totalsRowFormula>SUM(Table5[% of revenue])</totalsRowFormula>
    </tableColumn>
    <tableColumn id="6" xr3:uid="{F3C6DE7B-6E65-0140-B715-04F19C1878AE}" name="Units (of these products)" totalsRowFunction="custom" dataDxfId="30" totalsRowDxfId="29">
      <calculatedColumnFormula>SUMIF(Table3[Units class],"C",Table3[Units])</calculatedColumnFormula>
      <totalsRowFormula>SUM(Table5[Units (of these products)])</totalsRowFormula>
    </tableColumn>
    <tableColumn id="7" xr3:uid="{57611224-D472-904F-8245-8999B8AB7C99}" name="% of units" totalsRowFunction="custom" dataDxfId="28" totalsRowDxfId="27" dataCellStyle="Percent">
      <calculatedColumnFormula>Table5[[#This Row],[Units (of these products)]]/Table5[[#Totals],[Units (of these products)]]</calculatedColumnFormula>
      <totalsRowFormula>SUM(Table5[% of units])</totalsRow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00550F-8A24-CA44-874D-B809E319A46E}" name="Sim" displayName="Sim" ref="A3:U103" totalsRowShown="0" headerRowDxfId="26" dataDxfId="25">
  <autoFilter ref="A3:U103" xr:uid="{7600550F-8A24-CA44-874D-B809E319A46E}"/>
  <sortState xmlns:xlrd2="http://schemas.microsoft.com/office/spreadsheetml/2017/richdata2" ref="A4:K103">
    <sortCondition descending="1" ref="K3:K103"/>
  </sortState>
  <tableColumns count="21">
    <tableColumn id="1" xr3:uid="{19F7C9C9-3ABA-C843-8EE8-191F4DF002FB}" name="Product ID" dataDxfId="24"/>
    <tableColumn id="2" xr3:uid="{DD3E4878-134F-8E4E-BD17-E87CEFFA36D9}" name="Product name" dataDxfId="23"/>
    <tableColumn id="3" xr3:uid="{8D1D14C9-17ED-FB4F-881A-578A643D9477}" name="History units" dataDxfId="22"/>
    <tableColumn id="4" xr3:uid="{F2A35071-EFA9-924E-91F4-A01C358EAE84}" name="Sept units" dataDxfId="21"/>
    <tableColumn id="5" xr3:uid="{55A252FA-502E-374B-9F91-D61C33C942E9}" name="Avg daily demand" dataDxfId="20"/>
    <tableColumn id="12" xr3:uid="{22127950-379F-5A45-943B-60229C11C714}" name="Seed days" dataDxfId="19"/>
    <tableColumn id="6" xr3:uid="{F7AA2545-DC76-A74A-9D86-C0ABAE8010C6}" name="Seed on-hand" dataDxfId="18">
      <calculatedColumnFormula>Sim[[#This Row],[Avg daily demand]]*Sim[[#This Row],[Seed days]]</calculatedColumnFormula>
    </tableColumn>
    <tableColumn id="7" xr3:uid="{9A9F52AE-47C7-2248-8C5D-3460BAF36392}" name="Ending on-hand" dataDxfId="17">
      <calculatedColumnFormula>Sim[[#This Row],[Seed on-hand]]-Sim[[#This Row],[Sept units]]</calculatedColumnFormula>
    </tableColumn>
    <tableColumn id="8" xr3:uid="{03C28EBC-C02C-CF45-A62A-96A4B77FDB78}" name="Sept daily rate" dataDxfId="16">
      <calculatedColumnFormula>Sim[[#This Row],[Sept units]]/30</calculatedColumnFormula>
    </tableColumn>
    <tableColumn id="9" xr3:uid="{4F07D5B9-93E1-7948-AE63-4CB7E255AC56}" name="Status" dataDxfId="15">
      <calculatedColumnFormula>IF(AND(Sim[[#This Row],[History units]]=0,Sim[[#This Row],[Sept units]]=0),"Inactive",IF(Sim[[#This Row],[History units]]=0,"New - no history",IF(Sim[[#This Row],[Sept units]]=0,"No recent demand",IF(Sim[[#This Row],[Ending on-hand]]&lt;0,"Shortage risk","Normal"))))</calculatedColumnFormula>
    </tableColumn>
    <tableColumn id="10" xr3:uid="{DFDCA291-590D-F046-A5DB-962F8D80E6C7}" name="Days of supply" dataDxfId="14">
      <calculatedColumnFormula>IFERROR(Sim[[#This Row],[Ending on-hand]]/Sim[[#This Row],[Sept daily rate]],0)</calculatedColumnFormula>
    </tableColumn>
    <tableColumn id="13" xr3:uid="{C2CDEEC9-120A-FF41-8238-DE6BD1EF0F05}" name="Class" dataDxfId="13">
      <calculatedColumnFormula>_xlfn.XLOOKUP(Sim[[#This Row],[Product ID]],Table3[Product ID],Table3[Rev class],,0)</calculatedColumnFormula>
    </tableColumn>
    <tableColumn id="14" xr3:uid="{4AFDCD48-6C1B-4F47-89A3-A95D39594399}" name="LT" dataDxfId="12"/>
    <tableColumn id="15" xr3:uid="{743AAD27-F06D-DF46-9046-96D829424747}" name="Unit price" dataDxfId="11"/>
    <tableColumn id="16" xr3:uid="{54C4E9FF-5FE4-7F44-8EE4-8F0E13B65B50}" name="SigmaMonthly" dataDxfId="10">
      <calculatedColumnFormula>IFERROR(_xlfn.STDEV.S(_xlfn.XLOOKUP(Sim[[#This Row],[Product ID]],Demand!$A$2:$A$101,Demand!$AD$2:$AG$101)),0)</calculatedColumnFormula>
    </tableColumn>
    <tableColumn id="17" xr3:uid="{8A9D0D7D-9869-8A48-8F3E-DDEB2E2E2BA7}" name="SigmaDaily" dataDxfId="9">
      <calculatedColumnFormula>Sim[[#This Row],[SigmaMonthly]]/SQRT(30)</calculatedColumnFormula>
    </tableColumn>
    <tableColumn id="18" xr3:uid="{AFDBAB93-56E0-1445-ACB3-66FBCB689022}" name="Z" dataDxfId="8">
      <calculatedColumnFormula>_xlfn.NORM.S.INV(_xlfn.XLOOKUP(Sim[[#This Row],[Class]],ServiceTbl[Class],ServiceTbl[Level]))</calculatedColumnFormula>
    </tableColumn>
    <tableColumn id="19" xr3:uid="{D25CFF0B-0C5B-BB4C-A64F-E1658ED80387}" name="SS" dataDxfId="7">
      <calculatedColumnFormula>ROUNDUP(Sim[[#This Row],[Z]]*Sim[[#This Row],[SigmaDaily]]*SQRT(Sim[[#This Row],[LT]]),0)</calculatedColumnFormula>
    </tableColumn>
    <tableColumn id="20" xr3:uid="{C1195D6A-34EB-F14E-A7FB-C6FF8B33FDF6}" name="ROP" dataDxfId="6">
      <calculatedColumnFormula>ROUNDUP(Sim[[#This Row],[Avg daily demand]]*Sim[[#This Row],[LT]]+Sim[[#This Row],[SS]],0)</calculatedColumnFormula>
    </tableColumn>
    <tableColumn id="21" xr3:uid="{B65D0C25-9959-9441-8A0B-E08651BF4365}" name="Flag" dataDxfId="5">
      <calculatedColumnFormula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calculatedColumnFormula>
    </tableColumn>
    <tableColumn id="22" xr3:uid="{20C7162E-725E-9645-9FDA-DA05E2895DCD}" name="OverStock $" dataDxfId="4">
      <calculatedColumnFormula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calculatedColumnFormula>
    </tableColumn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1158BB-B53E-8C40-B0CD-966AF9A99EE0}" name="ServiceTbl" displayName="ServiceTbl" ref="D1:E4" totalsRowShown="0" headerRowDxfId="3" dataDxfId="2">
  <tableColumns count="2">
    <tableColumn id="1" xr3:uid="{689C3CFB-EF17-E444-9F6B-63419922E8E1}" name="Class" dataDxfId="1"/>
    <tableColumn id="2" xr3:uid="{B6D9D888-837B-5D40-8780-CD9F379E117C}" name="Level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606D-7D67-7A4C-A8DD-C68FB314C27B}">
  <dimension ref="A3:AI106"/>
  <sheetViews>
    <sheetView workbookViewId="0">
      <pane xSplit="1" ySplit="5" topLeftCell="F6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baseColWidth="10" defaultRowHeight="16" x14ac:dyDescent="0.2"/>
  <cols>
    <col min="1" max="1" width="12.28515625" style="46" customWidth="1"/>
    <col min="2" max="2" width="8.85546875" style="40" customWidth="1"/>
    <col min="3" max="3" width="5" style="40" bestFit="1" customWidth="1"/>
    <col min="4" max="13" width="6" style="40" bestFit="1" customWidth="1"/>
    <col min="14" max="14" width="7" style="40" bestFit="1" customWidth="1"/>
    <col min="15" max="25" width="6" style="40" bestFit="1" customWidth="1"/>
    <col min="26" max="26" width="7" style="40" bestFit="1" customWidth="1"/>
    <col min="27" max="30" width="6" style="40" bestFit="1" customWidth="1"/>
    <col min="31" max="31" width="5" style="40" bestFit="1" customWidth="1"/>
    <col min="32" max="33" width="6" style="40" bestFit="1" customWidth="1"/>
    <col min="34" max="34" width="5" style="40" bestFit="1" customWidth="1"/>
    <col min="35" max="35" width="10.42578125" style="40" bestFit="1" customWidth="1"/>
    <col min="36" max="40" width="6" style="40" bestFit="1" customWidth="1"/>
    <col min="41" max="41" width="6.140625" style="40" bestFit="1" customWidth="1"/>
    <col min="42" max="46" width="6" style="40" bestFit="1" customWidth="1"/>
    <col min="47" max="47" width="6.28515625" style="40" bestFit="1" customWidth="1"/>
    <col min="48" max="51" width="6" style="40" bestFit="1" customWidth="1"/>
    <col min="52" max="52" width="5" style="40" bestFit="1" customWidth="1"/>
    <col min="53" max="58" width="6" style="40" bestFit="1" customWidth="1"/>
    <col min="59" max="59" width="6.140625" style="40" bestFit="1" customWidth="1"/>
    <col min="60" max="60" width="6" style="40" bestFit="1" customWidth="1"/>
    <col min="61" max="61" width="5" style="40" bestFit="1" customWidth="1"/>
    <col min="62" max="63" width="6" style="40" bestFit="1" customWidth="1"/>
    <col min="64" max="64" width="6.140625" style="40" bestFit="1" customWidth="1"/>
    <col min="65" max="65" width="6" style="40" bestFit="1" customWidth="1"/>
    <col min="66" max="66" width="6.28515625" style="40" bestFit="1" customWidth="1"/>
    <col min="67" max="67" width="6" style="40" bestFit="1" customWidth="1"/>
    <col min="68" max="68" width="23.85546875" style="40" bestFit="1" customWidth="1"/>
    <col min="69" max="69" width="28.140625" style="40" bestFit="1" customWidth="1"/>
    <col min="70" max="73" width="6" style="40" bestFit="1" customWidth="1"/>
    <col min="74" max="74" width="6.140625" style="40" bestFit="1" customWidth="1"/>
    <col min="75" max="79" width="6" style="40" bestFit="1" customWidth="1"/>
    <col min="80" max="80" width="6.28515625" style="40" bestFit="1" customWidth="1"/>
    <col min="81" max="84" width="6" style="40" bestFit="1" customWidth="1"/>
    <col min="85" max="85" width="5" style="40" bestFit="1" customWidth="1"/>
    <col min="86" max="91" width="6" style="40" bestFit="1" customWidth="1"/>
    <col min="92" max="92" width="6.140625" style="40" bestFit="1" customWidth="1"/>
    <col min="93" max="93" width="6" style="40" bestFit="1" customWidth="1"/>
    <col min="94" max="94" width="5" style="40" bestFit="1" customWidth="1"/>
    <col min="95" max="96" width="6" style="40" bestFit="1" customWidth="1"/>
    <col min="97" max="97" width="6.140625" style="40" bestFit="1" customWidth="1"/>
    <col min="98" max="98" width="6" style="40" bestFit="1" customWidth="1"/>
    <col min="99" max="99" width="6.28515625" style="40" bestFit="1" customWidth="1"/>
    <col min="100" max="100" width="6" style="40" bestFit="1" customWidth="1"/>
    <col min="101" max="101" width="19.5703125" style="40" bestFit="1" customWidth="1"/>
    <col min="102" max="102" width="23.85546875" style="40" bestFit="1" customWidth="1"/>
    <col min="103" max="103" width="28.140625" style="40" bestFit="1" customWidth="1"/>
    <col min="104" max="16384" width="10.7109375" style="40"/>
  </cols>
  <sheetData>
    <row r="3" spans="1:35" ht="34" x14ac:dyDescent="0.2">
      <c r="A3" s="70" t="s">
        <v>371</v>
      </c>
      <c r="B3" s="60" t="s">
        <v>372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</row>
    <row r="4" spans="1:35" x14ac:dyDescent="0.2">
      <c r="A4" s="51"/>
      <c r="B4" s="60" t="s">
        <v>219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 t="s">
        <v>232</v>
      </c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 t="s">
        <v>233</v>
      </c>
      <c r="AA4" s="60"/>
      <c r="AB4" s="60"/>
      <c r="AC4" s="60"/>
      <c r="AD4" s="60"/>
      <c r="AE4" s="60"/>
      <c r="AF4" s="60"/>
      <c r="AG4" s="60"/>
      <c r="AH4" s="60"/>
      <c r="AI4" s="60" t="s">
        <v>234</v>
      </c>
    </row>
    <row r="5" spans="1:35" x14ac:dyDescent="0.2">
      <c r="A5" s="51" t="s">
        <v>361</v>
      </c>
      <c r="B5" s="60" t="s">
        <v>220</v>
      </c>
      <c r="C5" s="60" t="s">
        <v>221</v>
      </c>
      <c r="D5" s="60" t="s">
        <v>222</v>
      </c>
      <c r="E5" s="60" t="s">
        <v>223</v>
      </c>
      <c r="F5" s="60" t="s">
        <v>224</v>
      </c>
      <c r="G5" s="60" t="s">
        <v>225</v>
      </c>
      <c r="H5" s="60" t="s">
        <v>226</v>
      </c>
      <c r="I5" s="60" t="s">
        <v>227</v>
      </c>
      <c r="J5" s="60" t="s">
        <v>228</v>
      </c>
      <c r="K5" s="60" t="s">
        <v>229</v>
      </c>
      <c r="L5" s="60" t="s">
        <v>230</v>
      </c>
      <c r="M5" s="60" t="s">
        <v>231</v>
      </c>
      <c r="N5" s="60" t="s">
        <v>220</v>
      </c>
      <c r="O5" s="60" t="s">
        <v>221</v>
      </c>
      <c r="P5" s="60" t="s">
        <v>222</v>
      </c>
      <c r="Q5" s="60" t="s">
        <v>223</v>
      </c>
      <c r="R5" s="60" t="s">
        <v>224</v>
      </c>
      <c r="S5" s="60" t="s">
        <v>225</v>
      </c>
      <c r="T5" s="60" t="s">
        <v>226</v>
      </c>
      <c r="U5" s="60" t="s">
        <v>227</v>
      </c>
      <c r="V5" s="60" t="s">
        <v>228</v>
      </c>
      <c r="W5" s="60" t="s">
        <v>229</v>
      </c>
      <c r="X5" s="60" t="s">
        <v>230</v>
      </c>
      <c r="Y5" s="60" t="s">
        <v>231</v>
      </c>
      <c r="Z5" s="60" t="s">
        <v>220</v>
      </c>
      <c r="AA5" s="60" t="s">
        <v>221</v>
      </c>
      <c r="AB5" s="60" t="s">
        <v>222</v>
      </c>
      <c r="AC5" s="60" t="s">
        <v>223</v>
      </c>
      <c r="AD5" s="60" t="s">
        <v>224</v>
      </c>
      <c r="AE5" s="60" t="s">
        <v>225</v>
      </c>
      <c r="AF5" s="60" t="s">
        <v>226</v>
      </c>
      <c r="AG5" s="60" t="s">
        <v>227</v>
      </c>
      <c r="AH5" s="60" t="s">
        <v>228</v>
      </c>
      <c r="AI5" s="60"/>
    </row>
    <row r="6" spans="1:35" x14ac:dyDescent="0.2">
      <c r="A6" s="46">
        <v>19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2</v>
      </c>
      <c r="AD6" s="40">
        <v>13</v>
      </c>
      <c r="AE6" s="40">
        <v>13</v>
      </c>
      <c r="AF6" s="40">
        <v>14</v>
      </c>
      <c r="AG6" s="40">
        <v>17</v>
      </c>
      <c r="AH6" s="40">
        <v>4</v>
      </c>
      <c r="AI6" s="40">
        <v>63</v>
      </c>
    </row>
    <row r="7" spans="1:35" x14ac:dyDescent="0.2">
      <c r="A7" s="46">
        <v>24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12</v>
      </c>
      <c r="AD7" s="40">
        <v>70</v>
      </c>
      <c r="AE7" s="40">
        <v>52</v>
      </c>
      <c r="AF7" s="40">
        <v>45</v>
      </c>
      <c r="AG7" s="40">
        <v>42</v>
      </c>
      <c r="AH7" s="40">
        <v>9</v>
      </c>
      <c r="AI7" s="40">
        <v>230</v>
      </c>
    </row>
    <row r="8" spans="1:35" x14ac:dyDescent="0.2">
      <c r="A8" s="46">
        <v>35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4</v>
      </c>
      <c r="AD8" s="40">
        <v>15</v>
      </c>
      <c r="AE8" s="40">
        <v>11</v>
      </c>
      <c r="AF8" s="40">
        <v>14</v>
      </c>
      <c r="AG8" s="40">
        <v>13</v>
      </c>
      <c r="AH8" s="40">
        <v>5</v>
      </c>
      <c r="AI8" s="40">
        <v>62</v>
      </c>
    </row>
    <row r="9" spans="1:35" x14ac:dyDescent="0.2">
      <c r="A9" s="46">
        <v>37</v>
      </c>
      <c r="B9" s="40">
        <v>18</v>
      </c>
      <c r="C9" s="40">
        <v>20</v>
      </c>
      <c r="D9" s="40">
        <v>13</v>
      </c>
      <c r="E9" s="40">
        <v>29</v>
      </c>
      <c r="F9" s="40">
        <v>25</v>
      </c>
      <c r="G9" s="40">
        <v>11</v>
      </c>
      <c r="H9" s="40">
        <v>30</v>
      </c>
      <c r="I9" s="40">
        <v>20</v>
      </c>
      <c r="J9" s="40">
        <v>31</v>
      </c>
      <c r="K9" s="40">
        <v>8</v>
      </c>
      <c r="L9" s="40">
        <v>44</v>
      </c>
      <c r="M9" s="40">
        <v>39</v>
      </c>
      <c r="N9" s="40">
        <v>19</v>
      </c>
      <c r="O9" s="40">
        <v>32</v>
      </c>
      <c r="P9" s="40">
        <v>24</v>
      </c>
      <c r="Q9" s="40">
        <v>38</v>
      </c>
      <c r="R9" s="40">
        <v>24</v>
      </c>
      <c r="S9" s="40">
        <v>19</v>
      </c>
      <c r="T9" s="40">
        <v>52</v>
      </c>
      <c r="U9" s="40">
        <v>20</v>
      </c>
      <c r="V9" s="40">
        <v>15</v>
      </c>
      <c r="W9" s="40">
        <v>27</v>
      </c>
      <c r="X9" s="40">
        <v>34</v>
      </c>
      <c r="Y9" s="40">
        <v>24</v>
      </c>
      <c r="Z9" s="40">
        <v>34</v>
      </c>
      <c r="AA9" s="40">
        <v>28</v>
      </c>
      <c r="AB9" s="40">
        <v>48</v>
      </c>
      <c r="AC9" s="40">
        <v>14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740</v>
      </c>
    </row>
    <row r="10" spans="1:35" x14ac:dyDescent="0.2">
      <c r="A10" s="46">
        <v>44</v>
      </c>
      <c r="B10" s="40">
        <v>50</v>
      </c>
      <c r="C10" s="40">
        <v>23</v>
      </c>
      <c r="D10" s="40">
        <v>52</v>
      </c>
      <c r="E10" s="40">
        <v>34</v>
      </c>
      <c r="F10" s="40">
        <v>30</v>
      </c>
      <c r="G10" s="40">
        <v>33</v>
      </c>
      <c r="H10" s="40">
        <v>40</v>
      </c>
      <c r="I10" s="40">
        <v>21</v>
      </c>
      <c r="J10" s="40">
        <v>39</v>
      </c>
      <c r="K10" s="40">
        <v>31</v>
      </c>
      <c r="L10" s="40">
        <v>8</v>
      </c>
      <c r="M10" s="40">
        <v>37</v>
      </c>
      <c r="N10" s="40">
        <v>19</v>
      </c>
      <c r="O10" s="40">
        <v>36</v>
      </c>
      <c r="P10" s="40">
        <v>35</v>
      </c>
      <c r="Q10" s="40">
        <v>40</v>
      </c>
      <c r="R10" s="40">
        <v>45</v>
      </c>
      <c r="S10" s="40">
        <v>11</v>
      </c>
      <c r="T10" s="40">
        <v>51</v>
      </c>
      <c r="U10" s="40">
        <v>20</v>
      </c>
      <c r="V10" s="40">
        <v>45</v>
      </c>
      <c r="W10" s="40">
        <v>33</v>
      </c>
      <c r="X10" s="40">
        <v>25</v>
      </c>
      <c r="Y10" s="40">
        <v>35</v>
      </c>
      <c r="Z10" s="40">
        <v>30</v>
      </c>
      <c r="AA10" s="40">
        <v>17</v>
      </c>
      <c r="AB10" s="40">
        <v>36</v>
      </c>
      <c r="AC10" s="40">
        <v>36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912</v>
      </c>
    </row>
    <row r="11" spans="1:35" x14ac:dyDescent="0.2">
      <c r="A11" s="46">
        <v>58</v>
      </c>
      <c r="B11" s="40">
        <v>0</v>
      </c>
      <c r="C11" s="40">
        <v>0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28</v>
      </c>
      <c r="AI11" s="40">
        <v>28</v>
      </c>
    </row>
    <row r="12" spans="1:35" x14ac:dyDescent="0.2">
      <c r="A12" s="46">
        <v>60</v>
      </c>
      <c r="B12" s="40">
        <v>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2</v>
      </c>
      <c r="AI12" s="40">
        <v>2</v>
      </c>
    </row>
    <row r="13" spans="1:35" x14ac:dyDescent="0.2">
      <c r="A13" s="46">
        <v>61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26</v>
      </c>
      <c r="AI13" s="40">
        <v>26</v>
      </c>
    </row>
    <row r="14" spans="1:35" x14ac:dyDescent="0.2">
      <c r="A14" s="46">
        <v>78</v>
      </c>
      <c r="B14" s="40">
        <v>0</v>
      </c>
      <c r="C14" s="40">
        <v>0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10</v>
      </c>
      <c r="AD14" s="40">
        <v>42</v>
      </c>
      <c r="AE14" s="40">
        <v>43</v>
      </c>
      <c r="AF14" s="40">
        <v>37</v>
      </c>
      <c r="AG14" s="40">
        <v>33</v>
      </c>
      <c r="AH14" s="40">
        <v>16</v>
      </c>
      <c r="AI14" s="40">
        <v>181</v>
      </c>
    </row>
    <row r="15" spans="1:35" x14ac:dyDescent="0.2">
      <c r="A15" s="46">
        <v>93</v>
      </c>
      <c r="B15" s="40">
        <v>31</v>
      </c>
      <c r="C15" s="40">
        <v>20</v>
      </c>
      <c r="D15" s="40">
        <v>28</v>
      </c>
      <c r="E15" s="40">
        <v>24</v>
      </c>
      <c r="F15" s="40">
        <v>48</v>
      </c>
      <c r="G15" s="40">
        <v>19</v>
      </c>
      <c r="H15" s="40">
        <v>36</v>
      </c>
      <c r="I15" s="40">
        <v>31</v>
      </c>
      <c r="J15" s="40">
        <v>19</v>
      </c>
      <c r="K15" s="40">
        <v>29</v>
      </c>
      <c r="L15" s="40">
        <v>14</v>
      </c>
      <c r="M15" s="40">
        <v>29</v>
      </c>
      <c r="N15" s="40">
        <v>18</v>
      </c>
      <c r="O15" s="40">
        <v>26</v>
      </c>
      <c r="P15" s="40">
        <v>31</v>
      </c>
      <c r="Q15" s="40">
        <v>32</v>
      </c>
      <c r="R15" s="40">
        <v>21</v>
      </c>
      <c r="S15" s="40">
        <v>34</v>
      </c>
      <c r="T15" s="40">
        <v>25</v>
      </c>
      <c r="U15" s="40">
        <v>16</v>
      </c>
      <c r="V15" s="40">
        <v>23</v>
      </c>
      <c r="W15" s="40">
        <v>23</v>
      </c>
      <c r="X15" s="40">
        <v>38</v>
      </c>
      <c r="Y15" s="40">
        <v>48</v>
      </c>
      <c r="Z15" s="40">
        <v>44</v>
      </c>
      <c r="AA15" s="40">
        <v>41</v>
      </c>
      <c r="AB15" s="40">
        <v>35</v>
      </c>
      <c r="AC15" s="40">
        <v>14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>
        <v>797</v>
      </c>
    </row>
    <row r="16" spans="1:35" x14ac:dyDescent="0.2">
      <c r="A16" s="46">
        <v>116</v>
      </c>
      <c r="B16" s="40">
        <v>44</v>
      </c>
      <c r="C16" s="40">
        <v>28</v>
      </c>
      <c r="D16" s="40">
        <v>43</v>
      </c>
      <c r="E16" s="40">
        <v>24</v>
      </c>
      <c r="F16" s="40">
        <v>20</v>
      </c>
      <c r="G16" s="40">
        <v>26</v>
      </c>
      <c r="H16" s="40">
        <v>47</v>
      </c>
      <c r="I16" s="40">
        <v>39</v>
      </c>
      <c r="J16" s="40">
        <v>38</v>
      </c>
      <c r="K16" s="40">
        <v>26</v>
      </c>
      <c r="L16" s="40">
        <v>35</v>
      </c>
      <c r="M16" s="40">
        <v>36</v>
      </c>
      <c r="N16" s="40">
        <v>26</v>
      </c>
      <c r="O16" s="40">
        <v>21</v>
      </c>
      <c r="P16" s="40">
        <v>37</v>
      </c>
      <c r="Q16" s="40">
        <v>63</v>
      </c>
      <c r="R16" s="40">
        <v>30</v>
      </c>
      <c r="S16" s="40">
        <v>35</v>
      </c>
      <c r="T16" s="40">
        <v>40</v>
      </c>
      <c r="U16" s="40">
        <v>27</v>
      </c>
      <c r="V16" s="40">
        <v>40</v>
      </c>
      <c r="W16" s="40">
        <v>21</v>
      </c>
      <c r="X16" s="40">
        <v>29</v>
      </c>
      <c r="Y16" s="40">
        <v>42</v>
      </c>
      <c r="Z16" s="40">
        <v>41</v>
      </c>
      <c r="AA16" s="40">
        <v>43</v>
      </c>
      <c r="AB16" s="40">
        <v>30</v>
      </c>
      <c r="AC16" s="40">
        <v>23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954</v>
      </c>
    </row>
    <row r="17" spans="1:35" x14ac:dyDescent="0.2">
      <c r="A17" s="46">
        <v>127</v>
      </c>
      <c r="B17" s="40">
        <v>0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25</v>
      </c>
      <c r="AI17" s="40">
        <v>25</v>
      </c>
    </row>
    <row r="18" spans="1:35" x14ac:dyDescent="0.2">
      <c r="A18" s="46">
        <v>134</v>
      </c>
      <c r="B18" s="40">
        <v>40</v>
      </c>
      <c r="C18" s="40">
        <v>9</v>
      </c>
      <c r="D18" s="40">
        <v>20</v>
      </c>
      <c r="E18" s="40">
        <v>29</v>
      </c>
      <c r="F18" s="40">
        <v>36</v>
      </c>
      <c r="G18" s="40">
        <v>29</v>
      </c>
      <c r="H18" s="40">
        <v>33</v>
      </c>
      <c r="I18" s="40">
        <v>31</v>
      </c>
      <c r="J18" s="40">
        <v>32</v>
      </c>
      <c r="K18" s="40">
        <v>32</v>
      </c>
      <c r="L18" s="40">
        <v>22</v>
      </c>
      <c r="M18" s="40">
        <v>41</v>
      </c>
      <c r="N18" s="40">
        <v>31</v>
      </c>
      <c r="O18" s="40">
        <v>9</v>
      </c>
      <c r="P18" s="40">
        <v>35</v>
      </c>
      <c r="Q18" s="40">
        <v>24</v>
      </c>
      <c r="R18" s="40">
        <v>20</v>
      </c>
      <c r="S18" s="40">
        <v>34</v>
      </c>
      <c r="T18" s="40">
        <v>39</v>
      </c>
      <c r="U18" s="40">
        <v>38</v>
      </c>
      <c r="V18" s="40">
        <v>39</v>
      </c>
      <c r="W18" s="40">
        <v>16</v>
      </c>
      <c r="X18" s="40">
        <v>32</v>
      </c>
      <c r="Y18" s="40">
        <v>17</v>
      </c>
      <c r="Z18" s="40">
        <v>16</v>
      </c>
      <c r="AA18" s="40">
        <v>31</v>
      </c>
      <c r="AB18" s="40">
        <v>16</v>
      </c>
      <c r="AC18" s="40">
        <v>17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768</v>
      </c>
    </row>
    <row r="19" spans="1:35" x14ac:dyDescent="0.2">
      <c r="A19" s="46">
        <v>135</v>
      </c>
      <c r="B19" s="40">
        <v>28</v>
      </c>
      <c r="C19" s="40">
        <v>61</v>
      </c>
      <c r="D19" s="40">
        <v>20</v>
      </c>
      <c r="E19" s="40">
        <v>16</v>
      </c>
      <c r="F19" s="40">
        <v>41</v>
      </c>
      <c r="G19" s="40">
        <v>39</v>
      </c>
      <c r="H19" s="40">
        <v>18</v>
      </c>
      <c r="I19" s="40">
        <v>48</v>
      </c>
      <c r="J19" s="40">
        <v>29</v>
      </c>
      <c r="K19" s="40">
        <v>34</v>
      </c>
      <c r="L19" s="40">
        <v>32</v>
      </c>
      <c r="M19" s="40">
        <v>40</v>
      </c>
      <c r="N19" s="40">
        <v>49</v>
      </c>
      <c r="O19" s="40">
        <v>25</v>
      </c>
      <c r="P19" s="40">
        <v>19</v>
      </c>
      <c r="Q19" s="40">
        <v>14</v>
      </c>
      <c r="R19" s="40">
        <v>40</v>
      </c>
      <c r="S19" s="40">
        <v>30</v>
      </c>
      <c r="T19" s="40">
        <v>27</v>
      </c>
      <c r="U19" s="40">
        <v>33</v>
      </c>
      <c r="V19" s="40">
        <v>15</v>
      </c>
      <c r="W19" s="40">
        <v>28</v>
      </c>
      <c r="X19" s="40">
        <v>30</v>
      </c>
      <c r="Y19" s="40">
        <v>39</v>
      </c>
      <c r="Z19" s="40">
        <v>17</v>
      </c>
      <c r="AA19" s="40">
        <v>30</v>
      </c>
      <c r="AB19" s="40">
        <v>36</v>
      </c>
      <c r="AC19" s="40">
        <v>10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848</v>
      </c>
    </row>
    <row r="20" spans="1:35" x14ac:dyDescent="0.2">
      <c r="A20" s="46">
        <v>172</v>
      </c>
      <c r="B20" s="40">
        <v>50</v>
      </c>
      <c r="C20" s="40">
        <v>28</v>
      </c>
      <c r="D20" s="40">
        <v>25</v>
      </c>
      <c r="E20" s="40">
        <v>33</v>
      </c>
      <c r="F20" s="40">
        <v>36</v>
      </c>
      <c r="G20" s="40">
        <v>30</v>
      </c>
      <c r="H20" s="40">
        <v>37</v>
      </c>
      <c r="I20" s="40">
        <v>31</v>
      </c>
      <c r="J20" s="40">
        <v>35</v>
      </c>
      <c r="K20" s="40">
        <v>34</v>
      </c>
      <c r="L20" s="40">
        <v>14</v>
      </c>
      <c r="M20" s="40">
        <v>24</v>
      </c>
      <c r="N20" s="40">
        <v>30</v>
      </c>
      <c r="O20" s="40">
        <v>37</v>
      </c>
      <c r="P20" s="40">
        <v>26</v>
      </c>
      <c r="Q20" s="40">
        <v>18</v>
      </c>
      <c r="R20" s="40">
        <v>24</v>
      </c>
      <c r="S20" s="40">
        <v>31</v>
      </c>
      <c r="T20" s="40">
        <v>25</v>
      </c>
      <c r="U20" s="40">
        <v>28</v>
      </c>
      <c r="V20" s="40">
        <v>18</v>
      </c>
      <c r="W20" s="40">
        <v>62</v>
      </c>
      <c r="X20" s="40">
        <v>23</v>
      </c>
      <c r="Y20" s="40">
        <v>26</v>
      </c>
      <c r="Z20" s="40">
        <v>42</v>
      </c>
      <c r="AA20" s="40">
        <v>12</v>
      </c>
      <c r="AB20" s="40">
        <v>58</v>
      </c>
      <c r="AC20" s="40">
        <v>21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858</v>
      </c>
    </row>
    <row r="21" spans="1:35" x14ac:dyDescent="0.2">
      <c r="A21" s="46">
        <v>191</v>
      </c>
      <c r="B21" s="40">
        <v>1104</v>
      </c>
      <c r="C21" s="40">
        <v>894</v>
      </c>
      <c r="D21" s="40">
        <v>1076</v>
      </c>
      <c r="E21" s="40">
        <v>990</v>
      </c>
      <c r="F21" s="40">
        <v>1298</v>
      </c>
      <c r="G21" s="40">
        <v>1177</v>
      </c>
      <c r="H21" s="40">
        <v>1039</v>
      </c>
      <c r="I21" s="40">
        <v>1082</v>
      </c>
      <c r="J21" s="40">
        <v>1052</v>
      </c>
      <c r="K21" s="40">
        <v>1171</v>
      </c>
      <c r="L21" s="40">
        <v>1054</v>
      </c>
      <c r="M21" s="40">
        <v>1070</v>
      </c>
      <c r="N21" s="40">
        <v>1134</v>
      </c>
      <c r="O21" s="40">
        <v>958</v>
      </c>
      <c r="P21" s="40">
        <v>1016</v>
      </c>
      <c r="Q21" s="40">
        <v>1028</v>
      </c>
      <c r="R21" s="40">
        <v>894</v>
      </c>
      <c r="S21" s="40">
        <v>1004</v>
      </c>
      <c r="T21" s="40">
        <v>1048</v>
      </c>
      <c r="U21" s="40">
        <v>1104</v>
      </c>
      <c r="V21" s="40">
        <v>990</v>
      </c>
      <c r="W21" s="40">
        <v>984</v>
      </c>
      <c r="X21" s="40">
        <v>1127</v>
      </c>
      <c r="Y21" s="40">
        <v>1127</v>
      </c>
      <c r="Z21" s="40">
        <v>1170</v>
      </c>
      <c r="AA21" s="40">
        <v>1184</v>
      </c>
      <c r="AB21" s="40">
        <v>999</v>
      </c>
      <c r="AC21" s="40">
        <v>1066</v>
      </c>
      <c r="AD21" s="40">
        <v>1002</v>
      </c>
      <c r="AE21" s="40">
        <v>941</v>
      </c>
      <c r="AF21" s="40">
        <v>1085</v>
      </c>
      <c r="AG21" s="40">
        <v>1097</v>
      </c>
      <c r="AH21" s="40">
        <v>1050</v>
      </c>
      <c r="AI21" s="40">
        <v>35015</v>
      </c>
    </row>
    <row r="22" spans="1:35" x14ac:dyDescent="0.2">
      <c r="A22" s="46">
        <v>203</v>
      </c>
      <c r="B22" s="40">
        <v>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32</v>
      </c>
      <c r="AI22" s="40">
        <v>32</v>
      </c>
    </row>
    <row r="23" spans="1:35" x14ac:dyDescent="0.2">
      <c r="A23" s="46">
        <v>208</v>
      </c>
      <c r="B23" s="40">
        <v>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6</v>
      </c>
      <c r="AI23" s="40">
        <v>6</v>
      </c>
    </row>
    <row r="24" spans="1:35" x14ac:dyDescent="0.2">
      <c r="A24" s="46">
        <v>216</v>
      </c>
      <c r="B24" s="40">
        <v>0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4</v>
      </c>
      <c r="AD24" s="40">
        <v>7</v>
      </c>
      <c r="AE24" s="40">
        <v>13</v>
      </c>
      <c r="AF24" s="40">
        <v>14</v>
      </c>
      <c r="AG24" s="40">
        <v>21</v>
      </c>
      <c r="AH24" s="40">
        <v>3</v>
      </c>
      <c r="AI24" s="40">
        <v>62</v>
      </c>
    </row>
    <row r="25" spans="1:35" x14ac:dyDescent="0.2">
      <c r="A25" s="46">
        <v>226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7</v>
      </c>
      <c r="AI25" s="40">
        <v>7</v>
      </c>
    </row>
    <row r="26" spans="1:35" x14ac:dyDescent="0.2">
      <c r="A26" s="46">
        <v>235</v>
      </c>
      <c r="B26" s="40">
        <v>34</v>
      </c>
      <c r="C26" s="40">
        <v>13</v>
      </c>
      <c r="D26" s="40">
        <v>18</v>
      </c>
      <c r="E26" s="40">
        <v>66</v>
      </c>
      <c r="F26" s="40">
        <v>27</v>
      </c>
      <c r="G26" s="40">
        <v>37</v>
      </c>
      <c r="H26" s="40">
        <v>23</v>
      </c>
      <c r="I26" s="40">
        <v>31</v>
      </c>
      <c r="J26" s="40">
        <v>29</v>
      </c>
      <c r="K26" s="40">
        <v>46</v>
      </c>
      <c r="L26" s="40">
        <v>37</v>
      </c>
      <c r="M26" s="40">
        <v>26</v>
      </c>
      <c r="N26" s="40">
        <v>27</v>
      </c>
      <c r="O26" s="40">
        <v>16</v>
      </c>
      <c r="P26" s="40">
        <v>20</v>
      </c>
      <c r="Q26" s="40">
        <v>30</v>
      </c>
      <c r="R26" s="40">
        <v>42</v>
      </c>
      <c r="S26" s="40">
        <v>16</v>
      </c>
      <c r="T26" s="40">
        <v>27</v>
      </c>
      <c r="U26" s="40">
        <v>41</v>
      </c>
      <c r="V26" s="40">
        <v>25</v>
      </c>
      <c r="W26" s="40">
        <v>20</v>
      </c>
      <c r="X26" s="40">
        <v>25</v>
      </c>
      <c r="Y26" s="40">
        <v>38</v>
      </c>
      <c r="Z26" s="40">
        <v>29</v>
      </c>
      <c r="AA26" s="40">
        <v>24</v>
      </c>
      <c r="AB26" s="40">
        <v>39</v>
      </c>
      <c r="AC26" s="40">
        <v>8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814</v>
      </c>
    </row>
    <row r="27" spans="1:35" x14ac:dyDescent="0.2">
      <c r="A27" s="46">
        <v>249</v>
      </c>
      <c r="B27" s="40">
        <v>24</v>
      </c>
      <c r="C27" s="40">
        <v>9</v>
      </c>
      <c r="D27" s="40">
        <v>37</v>
      </c>
      <c r="E27" s="40">
        <v>35</v>
      </c>
      <c r="F27" s="40">
        <v>32</v>
      </c>
      <c r="G27" s="40">
        <v>22</v>
      </c>
      <c r="H27" s="40">
        <v>13</v>
      </c>
      <c r="I27" s="40">
        <v>15</v>
      </c>
      <c r="J27" s="40">
        <v>31</v>
      </c>
      <c r="K27" s="40">
        <v>34</v>
      </c>
      <c r="L27" s="40">
        <v>26</v>
      </c>
      <c r="M27" s="40">
        <v>32</v>
      </c>
      <c r="N27" s="40">
        <v>28</v>
      </c>
      <c r="O27" s="40">
        <v>29</v>
      </c>
      <c r="P27" s="40">
        <v>20</v>
      </c>
      <c r="Q27" s="40">
        <v>14</v>
      </c>
      <c r="R27" s="40">
        <v>37</v>
      </c>
      <c r="S27" s="40">
        <v>25</v>
      </c>
      <c r="T27" s="40">
        <v>37</v>
      </c>
      <c r="U27" s="40">
        <v>43</v>
      </c>
      <c r="V27" s="40">
        <v>25</v>
      </c>
      <c r="W27" s="40">
        <v>37</v>
      </c>
      <c r="X27" s="40">
        <v>61</v>
      </c>
      <c r="Y27" s="40">
        <v>28</v>
      </c>
      <c r="Z27" s="40">
        <v>27</v>
      </c>
      <c r="AA27" s="40">
        <v>29</v>
      </c>
      <c r="AB27" s="40">
        <v>28</v>
      </c>
      <c r="AC27" s="40">
        <v>26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804</v>
      </c>
    </row>
    <row r="28" spans="1:35" x14ac:dyDescent="0.2">
      <c r="A28" s="46">
        <v>251</v>
      </c>
      <c r="B28" s="40">
        <v>0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13</v>
      </c>
      <c r="AD28" s="40">
        <v>43</v>
      </c>
      <c r="AE28" s="40">
        <v>55</v>
      </c>
      <c r="AF28" s="40">
        <v>33</v>
      </c>
      <c r="AG28" s="40">
        <v>45</v>
      </c>
      <c r="AH28" s="40">
        <v>18</v>
      </c>
      <c r="AI28" s="40">
        <v>207</v>
      </c>
    </row>
    <row r="29" spans="1:35" x14ac:dyDescent="0.2">
      <c r="A29" s="46">
        <v>258</v>
      </c>
      <c r="B29" s="40">
        <v>0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10</v>
      </c>
      <c r="AD29" s="40">
        <v>26</v>
      </c>
      <c r="AE29" s="40">
        <v>35</v>
      </c>
      <c r="AF29" s="40">
        <v>42</v>
      </c>
      <c r="AG29" s="40">
        <v>57</v>
      </c>
      <c r="AH29" s="40">
        <v>29</v>
      </c>
      <c r="AI29" s="40">
        <v>199</v>
      </c>
    </row>
    <row r="30" spans="1:35" x14ac:dyDescent="0.2">
      <c r="A30" s="46">
        <v>273</v>
      </c>
      <c r="B30" s="40">
        <v>20</v>
      </c>
      <c r="C30" s="40">
        <v>29</v>
      </c>
      <c r="D30" s="40">
        <v>41</v>
      </c>
      <c r="E30" s="40">
        <v>22</v>
      </c>
      <c r="F30" s="40">
        <v>50</v>
      </c>
      <c r="G30" s="40">
        <v>30</v>
      </c>
      <c r="H30" s="40">
        <v>29</v>
      </c>
      <c r="I30" s="40">
        <v>25</v>
      </c>
      <c r="J30" s="40">
        <v>25</v>
      </c>
      <c r="K30" s="40">
        <v>31</v>
      </c>
      <c r="L30" s="40">
        <v>23</v>
      </c>
      <c r="M30" s="40">
        <v>24</v>
      </c>
      <c r="N30" s="40">
        <v>29</v>
      </c>
      <c r="O30" s="40">
        <v>39</v>
      </c>
      <c r="P30" s="40">
        <v>31</v>
      </c>
      <c r="Q30" s="40">
        <v>25</v>
      </c>
      <c r="R30" s="40">
        <v>51</v>
      </c>
      <c r="S30" s="40">
        <v>17</v>
      </c>
      <c r="T30" s="40">
        <v>14</v>
      </c>
      <c r="U30" s="40">
        <v>11</v>
      </c>
      <c r="V30" s="40">
        <v>31</v>
      </c>
      <c r="W30" s="40">
        <v>19</v>
      </c>
      <c r="X30" s="40">
        <v>23</v>
      </c>
      <c r="Y30" s="40">
        <v>30</v>
      </c>
      <c r="Z30" s="40">
        <v>24</v>
      </c>
      <c r="AA30" s="40">
        <v>22</v>
      </c>
      <c r="AB30" s="40">
        <v>15</v>
      </c>
      <c r="AC30" s="40">
        <v>29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759</v>
      </c>
    </row>
    <row r="31" spans="1:35" x14ac:dyDescent="0.2">
      <c r="A31" s="46">
        <v>276</v>
      </c>
      <c r="B31" s="40">
        <v>33</v>
      </c>
      <c r="C31" s="40">
        <v>24</v>
      </c>
      <c r="D31" s="40">
        <v>33</v>
      </c>
      <c r="E31" s="40">
        <v>20</v>
      </c>
      <c r="F31" s="40">
        <v>28</v>
      </c>
      <c r="G31" s="40">
        <v>17</v>
      </c>
      <c r="H31" s="40">
        <v>30</v>
      </c>
      <c r="I31" s="40">
        <v>54</v>
      </c>
      <c r="J31" s="40">
        <v>22</v>
      </c>
      <c r="K31" s="40">
        <v>16</v>
      </c>
      <c r="L31" s="40">
        <v>59</v>
      </c>
      <c r="M31" s="40">
        <v>60</v>
      </c>
      <c r="N31" s="40">
        <v>25</v>
      </c>
      <c r="O31" s="40">
        <v>36</v>
      </c>
      <c r="P31" s="40">
        <v>41</v>
      </c>
      <c r="Q31" s="40">
        <v>29</v>
      </c>
      <c r="R31" s="40">
        <v>21</v>
      </c>
      <c r="S31" s="40">
        <v>11</v>
      </c>
      <c r="T31" s="40">
        <v>29</v>
      </c>
      <c r="U31" s="40">
        <v>46</v>
      </c>
      <c r="V31" s="40">
        <v>42</v>
      </c>
      <c r="W31" s="40">
        <v>55</v>
      </c>
      <c r="X31" s="40">
        <v>27</v>
      </c>
      <c r="Y31" s="40">
        <v>29</v>
      </c>
      <c r="Z31" s="40">
        <v>9</v>
      </c>
      <c r="AA31" s="40">
        <v>18</v>
      </c>
      <c r="AB31" s="40">
        <v>34</v>
      </c>
      <c r="AC31" s="40">
        <v>21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869</v>
      </c>
    </row>
    <row r="32" spans="1:35" x14ac:dyDescent="0.2">
      <c r="A32" s="46">
        <v>278</v>
      </c>
      <c r="B32" s="40">
        <v>23</v>
      </c>
      <c r="C32" s="40">
        <v>27</v>
      </c>
      <c r="D32" s="40">
        <v>32</v>
      </c>
      <c r="E32" s="40">
        <v>29</v>
      </c>
      <c r="F32" s="40">
        <v>31</v>
      </c>
      <c r="G32" s="40">
        <v>49</v>
      </c>
      <c r="H32" s="40">
        <v>41</v>
      </c>
      <c r="I32" s="40">
        <v>26</v>
      </c>
      <c r="J32" s="40">
        <v>30</v>
      </c>
      <c r="K32" s="40">
        <v>16</v>
      </c>
      <c r="L32" s="40">
        <v>31</v>
      </c>
      <c r="M32" s="40">
        <v>49</v>
      </c>
      <c r="N32" s="40">
        <v>31</v>
      </c>
      <c r="O32" s="40">
        <v>28</v>
      </c>
      <c r="P32" s="40">
        <v>17</v>
      </c>
      <c r="Q32" s="40">
        <v>21</v>
      </c>
      <c r="R32" s="40">
        <v>24</v>
      </c>
      <c r="S32" s="40">
        <v>29</v>
      </c>
      <c r="T32" s="40">
        <v>13</v>
      </c>
      <c r="U32" s="40">
        <v>20</v>
      </c>
      <c r="V32" s="40">
        <v>26</v>
      </c>
      <c r="W32" s="40">
        <v>33</v>
      </c>
      <c r="X32" s="40">
        <v>25</v>
      </c>
      <c r="Y32" s="40">
        <v>37</v>
      </c>
      <c r="Z32" s="40">
        <v>22</v>
      </c>
      <c r="AA32" s="40">
        <v>18</v>
      </c>
      <c r="AB32" s="40">
        <v>28</v>
      </c>
      <c r="AC32" s="40">
        <v>19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775</v>
      </c>
    </row>
    <row r="33" spans="1:35" x14ac:dyDescent="0.2">
      <c r="A33" s="46">
        <v>282</v>
      </c>
      <c r="B33" s="40">
        <v>28</v>
      </c>
      <c r="C33" s="40">
        <v>33</v>
      </c>
      <c r="D33" s="40">
        <v>27</v>
      </c>
      <c r="E33" s="40">
        <v>25</v>
      </c>
      <c r="F33" s="40">
        <v>12</v>
      </c>
      <c r="G33" s="40">
        <v>27</v>
      </c>
      <c r="H33" s="40">
        <v>46</v>
      </c>
      <c r="I33" s="40">
        <v>39</v>
      </c>
      <c r="J33" s="40">
        <v>44</v>
      </c>
      <c r="K33" s="40">
        <v>39</v>
      </c>
      <c r="L33" s="40">
        <v>35</v>
      </c>
      <c r="M33" s="40">
        <v>24</v>
      </c>
      <c r="N33" s="40">
        <v>32</v>
      </c>
      <c r="O33" s="40">
        <v>23</v>
      </c>
      <c r="P33" s="40">
        <v>19</v>
      </c>
      <c r="Q33" s="40">
        <v>13</v>
      </c>
      <c r="R33" s="40">
        <v>26</v>
      </c>
      <c r="S33" s="40">
        <v>51</v>
      </c>
      <c r="T33" s="40">
        <v>44</v>
      </c>
      <c r="U33" s="40">
        <v>43</v>
      </c>
      <c r="V33" s="40">
        <v>26</v>
      </c>
      <c r="W33" s="40">
        <v>21</v>
      </c>
      <c r="X33" s="40">
        <v>17</v>
      </c>
      <c r="Y33" s="40">
        <v>32</v>
      </c>
      <c r="Z33" s="40">
        <v>20</v>
      </c>
      <c r="AA33" s="40">
        <v>28</v>
      </c>
      <c r="AB33" s="40">
        <v>16</v>
      </c>
      <c r="AC33" s="40">
        <v>23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40">
        <v>813</v>
      </c>
    </row>
    <row r="34" spans="1:35" x14ac:dyDescent="0.2">
      <c r="A34" s="46">
        <v>295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8</v>
      </c>
      <c r="AD34" s="40">
        <v>33</v>
      </c>
      <c r="AE34" s="40">
        <v>30</v>
      </c>
      <c r="AF34" s="40">
        <v>40</v>
      </c>
      <c r="AG34" s="40">
        <v>50</v>
      </c>
      <c r="AH34" s="40">
        <v>18</v>
      </c>
      <c r="AI34" s="40">
        <v>179</v>
      </c>
    </row>
    <row r="35" spans="1:35" x14ac:dyDescent="0.2">
      <c r="A35" s="46">
        <v>303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33</v>
      </c>
      <c r="AI35" s="40">
        <v>33</v>
      </c>
    </row>
    <row r="36" spans="1:35" x14ac:dyDescent="0.2">
      <c r="A36" s="46">
        <v>305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3</v>
      </c>
      <c r="AD36" s="40">
        <v>18</v>
      </c>
      <c r="AE36" s="40">
        <v>12</v>
      </c>
      <c r="AF36" s="40">
        <v>15</v>
      </c>
      <c r="AG36" s="40">
        <v>10</v>
      </c>
      <c r="AH36" s="40">
        <v>7</v>
      </c>
      <c r="AI36" s="40">
        <v>65</v>
      </c>
    </row>
    <row r="37" spans="1:35" x14ac:dyDescent="0.2">
      <c r="A37" s="46">
        <v>306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7</v>
      </c>
      <c r="AD37" s="40">
        <v>42</v>
      </c>
      <c r="AE37" s="40">
        <v>59</v>
      </c>
      <c r="AF37" s="40">
        <v>15</v>
      </c>
      <c r="AG37" s="40">
        <v>45</v>
      </c>
      <c r="AH37" s="40">
        <v>18</v>
      </c>
      <c r="AI37" s="40">
        <v>186</v>
      </c>
    </row>
    <row r="38" spans="1:35" x14ac:dyDescent="0.2">
      <c r="A38" s="46">
        <v>311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4</v>
      </c>
      <c r="AD38" s="40">
        <v>11</v>
      </c>
      <c r="AE38" s="40">
        <v>8</v>
      </c>
      <c r="AF38" s="40">
        <v>12</v>
      </c>
      <c r="AG38" s="40">
        <v>10</v>
      </c>
      <c r="AH38" s="40">
        <v>3</v>
      </c>
      <c r="AI38" s="40">
        <v>48</v>
      </c>
    </row>
    <row r="39" spans="1:35" x14ac:dyDescent="0.2">
      <c r="A39" s="46">
        <v>359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9</v>
      </c>
      <c r="AD39" s="40">
        <v>47</v>
      </c>
      <c r="AE39" s="40">
        <v>28</v>
      </c>
      <c r="AF39" s="40">
        <v>57</v>
      </c>
      <c r="AG39" s="40">
        <v>45</v>
      </c>
      <c r="AH39" s="40">
        <v>13</v>
      </c>
      <c r="AI39" s="40">
        <v>199</v>
      </c>
    </row>
    <row r="40" spans="1:35" x14ac:dyDescent="0.2">
      <c r="A40" s="46">
        <v>364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36</v>
      </c>
      <c r="AI40" s="40">
        <v>36</v>
      </c>
    </row>
    <row r="41" spans="1:35" x14ac:dyDescent="0.2">
      <c r="A41" s="46">
        <v>365</v>
      </c>
      <c r="B41" s="40">
        <v>2281</v>
      </c>
      <c r="C41" s="40">
        <v>1899</v>
      </c>
      <c r="D41" s="40">
        <v>2288</v>
      </c>
      <c r="E41" s="40">
        <v>2062</v>
      </c>
      <c r="F41" s="40">
        <v>2138</v>
      </c>
      <c r="G41" s="40">
        <v>2050</v>
      </c>
      <c r="H41" s="40">
        <v>2202</v>
      </c>
      <c r="I41" s="40">
        <v>2298</v>
      </c>
      <c r="J41" s="40">
        <v>2089</v>
      </c>
      <c r="K41" s="40">
        <v>2067</v>
      </c>
      <c r="L41" s="40">
        <v>2116</v>
      </c>
      <c r="M41" s="40">
        <v>2107</v>
      </c>
      <c r="N41" s="40">
        <v>2104</v>
      </c>
      <c r="O41" s="40">
        <v>1940</v>
      </c>
      <c r="P41" s="40">
        <v>2327</v>
      </c>
      <c r="Q41" s="40">
        <v>2099</v>
      </c>
      <c r="R41" s="40">
        <v>2332</v>
      </c>
      <c r="S41" s="40">
        <v>2110</v>
      </c>
      <c r="T41" s="40">
        <v>2101</v>
      </c>
      <c r="U41" s="40">
        <v>2262</v>
      </c>
      <c r="V41" s="40">
        <v>2168</v>
      </c>
      <c r="W41" s="40">
        <v>2188</v>
      </c>
      <c r="X41" s="40">
        <v>2156</v>
      </c>
      <c r="Y41" s="40">
        <v>2240</v>
      </c>
      <c r="Z41" s="40">
        <v>2164</v>
      </c>
      <c r="AA41" s="40">
        <v>2042</v>
      </c>
      <c r="AB41" s="40">
        <v>2144</v>
      </c>
      <c r="AC41" s="40">
        <v>2139</v>
      </c>
      <c r="AD41" s="40">
        <v>2147</v>
      </c>
      <c r="AE41" s="40">
        <v>1822</v>
      </c>
      <c r="AF41" s="40">
        <v>2199</v>
      </c>
      <c r="AG41" s="40">
        <v>2215</v>
      </c>
      <c r="AH41" s="40">
        <v>1959</v>
      </c>
      <c r="AI41" s="40">
        <v>70455</v>
      </c>
    </row>
    <row r="42" spans="1:35" x14ac:dyDescent="0.2">
      <c r="A42" s="46">
        <v>403</v>
      </c>
      <c r="B42" s="40">
        <v>590</v>
      </c>
      <c r="C42" s="40">
        <v>602</v>
      </c>
      <c r="D42" s="40">
        <v>596</v>
      </c>
      <c r="E42" s="40">
        <v>635</v>
      </c>
      <c r="F42" s="40">
        <v>616</v>
      </c>
      <c r="G42" s="40">
        <v>633</v>
      </c>
      <c r="H42" s="40">
        <v>645</v>
      </c>
      <c r="I42" s="40">
        <v>659</v>
      </c>
      <c r="J42" s="40">
        <v>633</v>
      </c>
      <c r="K42" s="40">
        <v>659</v>
      </c>
      <c r="L42" s="40">
        <v>629</v>
      </c>
      <c r="M42" s="40">
        <v>700</v>
      </c>
      <c r="N42" s="40">
        <v>653</v>
      </c>
      <c r="O42" s="40">
        <v>614</v>
      </c>
      <c r="P42" s="40">
        <v>647</v>
      </c>
      <c r="Q42" s="40">
        <v>654</v>
      </c>
      <c r="R42" s="40">
        <v>633</v>
      </c>
      <c r="S42" s="40">
        <v>639</v>
      </c>
      <c r="T42" s="40">
        <v>642</v>
      </c>
      <c r="U42" s="40">
        <v>703</v>
      </c>
      <c r="V42" s="40">
        <v>660</v>
      </c>
      <c r="W42" s="40">
        <v>695</v>
      </c>
      <c r="X42" s="40">
        <v>619</v>
      </c>
      <c r="Y42" s="40">
        <v>664</v>
      </c>
      <c r="Z42" s="40">
        <v>636</v>
      </c>
      <c r="AA42" s="40">
        <v>540</v>
      </c>
      <c r="AB42" s="40">
        <v>696</v>
      </c>
      <c r="AC42" s="40">
        <v>633</v>
      </c>
      <c r="AD42" s="40">
        <v>701</v>
      </c>
      <c r="AE42" s="40">
        <v>652</v>
      </c>
      <c r="AF42" s="40">
        <v>674</v>
      </c>
      <c r="AG42" s="40">
        <v>650</v>
      </c>
      <c r="AH42" s="40">
        <v>631</v>
      </c>
      <c r="AI42" s="40">
        <v>21233</v>
      </c>
    </row>
    <row r="43" spans="1:35" x14ac:dyDescent="0.2">
      <c r="A43" s="46">
        <v>502</v>
      </c>
      <c r="B43" s="40">
        <v>1769</v>
      </c>
      <c r="C43" s="40">
        <v>1696</v>
      </c>
      <c r="D43" s="40">
        <v>1916</v>
      </c>
      <c r="E43" s="40">
        <v>1842</v>
      </c>
      <c r="F43" s="40">
        <v>1830</v>
      </c>
      <c r="G43" s="40">
        <v>1692</v>
      </c>
      <c r="H43" s="40">
        <v>2096</v>
      </c>
      <c r="I43" s="40">
        <v>1812</v>
      </c>
      <c r="J43" s="40">
        <v>1783</v>
      </c>
      <c r="K43" s="40">
        <v>1890</v>
      </c>
      <c r="L43" s="40">
        <v>1697</v>
      </c>
      <c r="M43" s="40">
        <v>1794</v>
      </c>
      <c r="N43" s="40">
        <v>2014</v>
      </c>
      <c r="O43" s="40">
        <v>1656</v>
      </c>
      <c r="P43" s="40">
        <v>1780</v>
      </c>
      <c r="Q43" s="40">
        <v>1740</v>
      </c>
      <c r="R43" s="40">
        <v>1836</v>
      </c>
      <c r="S43" s="40">
        <v>1813</v>
      </c>
      <c r="T43" s="40">
        <v>1846</v>
      </c>
      <c r="U43" s="40">
        <v>2002</v>
      </c>
      <c r="V43" s="40">
        <v>1771</v>
      </c>
      <c r="W43" s="40">
        <v>1952</v>
      </c>
      <c r="X43" s="40">
        <v>1762</v>
      </c>
      <c r="Y43" s="40">
        <v>1769</v>
      </c>
      <c r="Z43" s="40">
        <v>1917</v>
      </c>
      <c r="AA43" s="40">
        <v>1837</v>
      </c>
      <c r="AB43" s="40">
        <v>1952</v>
      </c>
      <c r="AC43" s="40">
        <v>1643</v>
      </c>
      <c r="AD43" s="40">
        <v>1765</v>
      </c>
      <c r="AE43" s="40">
        <v>1816</v>
      </c>
      <c r="AF43" s="40">
        <v>1743</v>
      </c>
      <c r="AG43" s="40">
        <v>1869</v>
      </c>
      <c r="AH43" s="40">
        <v>1854</v>
      </c>
      <c r="AI43" s="40">
        <v>60154</v>
      </c>
    </row>
    <row r="44" spans="1:35" x14ac:dyDescent="0.2">
      <c r="A44" s="46">
        <v>564</v>
      </c>
      <c r="B44" s="40">
        <v>28</v>
      </c>
      <c r="C44" s="40">
        <v>21</v>
      </c>
      <c r="D44" s="40">
        <v>26</v>
      </c>
      <c r="E44" s="40">
        <v>13</v>
      </c>
      <c r="F44" s="40">
        <v>43</v>
      </c>
      <c r="G44" s="40">
        <v>30</v>
      </c>
      <c r="H44" s="40">
        <v>41</v>
      </c>
      <c r="I44" s="40">
        <v>18</v>
      </c>
      <c r="J44" s="40">
        <v>27</v>
      </c>
      <c r="K44" s="40">
        <v>30</v>
      </c>
      <c r="L44" s="40">
        <v>41</v>
      </c>
      <c r="M44" s="40">
        <v>21</v>
      </c>
      <c r="N44" s="40">
        <v>20</v>
      </c>
      <c r="O44" s="40">
        <v>35</v>
      </c>
      <c r="P44" s="40">
        <v>68</v>
      </c>
      <c r="Q44" s="40">
        <v>28</v>
      </c>
      <c r="R44" s="40">
        <v>26</v>
      </c>
      <c r="S44" s="40">
        <v>43</v>
      </c>
      <c r="T44" s="40">
        <v>36</v>
      </c>
      <c r="U44" s="40">
        <v>54</v>
      </c>
      <c r="V44" s="40">
        <v>29</v>
      </c>
      <c r="W44" s="40">
        <v>35</v>
      </c>
      <c r="X44" s="40">
        <v>18</v>
      </c>
      <c r="Y44" s="40">
        <v>33</v>
      </c>
      <c r="Z44" s="40">
        <v>20</v>
      </c>
      <c r="AA44" s="40">
        <v>22</v>
      </c>
      <c r="AB44" s="40">
        <v>21</v>
      </c>
      <c r="AC44" s="40">
        <v>22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849</v>
      </c>
    </row>
    <row r="45" spans="1:35" x14ac:dyDescent="0.2">
      <c r="A45" s="46">
        <v>565</v>
      </c>
      <c r="B45" s="40">
        <v>47</v>
      </c>
      <c r="C45" s="40">
        <v>31</v>
      </c>
      <c r="D45" s="40">
        <v>33</v>
      </c>
      <c r="E45" s="40">
        <v>30</v>
      </c>
      <c r="F45" s="40">
        <v>30</v>
      </c>
      <c r="G45" s="40">
        <v>40</v>
      </c>
      <c r="H45" s="40">
        <v>17</v>
      </c>
      <c r="I45" s="40">
        <v>21</v>
      </c>
      <c r="J45" s="40">
        <v>35</v>
      </c>
      <c r="K45" s="40">
        <v>45</v>
      </c>
      <c r="L45" s="40">
        <v>29</v>
      </c>
      <c r="M45" s="40">
        <v>47</v>
      </c>
      <c r="N45" s="40">
        <v>19</v>
      </c>
      <c r="O45" s="40">
        <v>56</v>
      </c>
      <c r="P45" s="40">
        <v>35</v>
      </c>
      <c r="Q45" s="40">
        <v>33</v>
      </c>
      <c r="R45" s="40">
        <v>18</v>
      </c>
      <c r="S45" s="40">
        <v>29</v>
      </c>
      <c r="T45" s="40">
        <v>34</v>
      </c>
      <c r="U45" s="40">
        <v>26</v>
      </c>
      <c r="V45" s="40">
        <v>43</v>
      </c>
      <c r="W45" s="40">
        <v>38</v>
      </c>
      <c r="X45" s="40">
        <v>27</v>
      </c>
      <c r="Y45" s="40">
        <v>29</v>
      </c>
      <c r="Z45" s="40">
        <v>18</v>
      </c>
      <c r="AA45" s="40">
        <v>29</v>
      </c>
      <c r="AB45" s="40">
        <v>36</v>
      </c>
      <c r="AC45" s="40">
        <v>32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907</v>
      </c>
    </row>
    <row r="46" spans="1:35" x14ac:dyDescent="0.2">
      <c r="A46" s="46">
        <v>567</v>
      </c>
      <c r="B46" s="40">
        <v>25</v>
      </c>
      <c r="C46" s="40">
        <v>38</v>
      </c>
      <c r="D46" s="40">
        <v>42</v>
      </c>
      <c r="E46" s="40">
        <v>55</v>
      </c>
      <c r="F46" s="40">
        <v>23</v>
      </c>
      <c r="G46" s="40">
        <v>29</v>
      </c>
      <c r="H46" s="40">
        <v>30</v>
      </c>
      <c r="I46" s="40">
        <v>25</v>
      </c>
      <c r="J46" s="40">
        <v>20</v>
      </c>
      <c r="K46" s="40">
        <v>41</v>
      </c>
      <c r="L46" s="40">
        <v>17</v>
      </c>
      <c r="M46" s="40">
        <v>31</v>
      </c>
      <c r="N46" s="40">
        <v>19</v>
      </c>
      <c r="O46" s="40">
        <v>46</v>
      </c>
      <c r="P46" s="40">
        <v>18</v>
      </c>
      <c r="Q46" s="40">
        <v>37</v>
      </c>
      <c r="R46" s="40">
        <v>47</v>
      </c>
      <c r="S46" s="40">
        <v>21</v>
      </c>
      <c r="T46" s="40">
        <v>35</v>
      </c>
      <c r="U46" s="40">
        <v>24</v>
      </c>
      <c r="V46" s="40">
        <v>19</v>
      </c>
      <c r="W46" s="40">
        <v>31</v>
      </c>
      <c r="X46" s="40">
        <v>21</v>
      </c>
      <c r="Y46" s="40">
        <v>17</v>
      </c>
      <c r="Z46" s="40">
        <v>29</v>
      </c>
      <c r="AA46" s="40">
        <v>30</v>
      </c>
      <c r="AB46" s="40">
        <v>20</v>
      </c>
      <c r="AC46" s="40">
        <v>29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819</v>
      </c>
    </row>
    <row r="47" spans="1:35" x14ac:dyDescent="0.2">
      <c r="A47" s="46">
        <v>572</v>
      </c>
      <c r="B47" s="40">
        <v>22</v>
      </c>
      <c r="C47" s="40">
        <v>49</v>
      </c>
      <c r="D47" s="40">
        <v>37</v>
      </c>
      <c r="E47" s="40">
        <v>25</v>
      </c>
      <c r="F47" s="40">
        <v>35</v>
      </c>
      <c r="G47" s="40">
        <v>44</v>
      </c>
      <c r="H47" s="40">
        <v>34</v>
      </c>
      <c r="I47" s="40">
        <v>53</v>
      </c>
      <c r="J47" s="40">
        <v>33</v>
      </c>
      <c r="K47" s="40">
        <v>47</v>
      </c>
      <c r="L47" s="40">
        <v>19</v>
      </c>
      <c r="M47" s="40">
        <v>28</v>
      </c>
      <c r="N47" s="40">
        <v>21</v>
      </c>
      <c r="O47" s="40">
        <v>19</v>
      </c>
      <c r="P47" s="40">
        <v>21</v>
      </c>
      <c r="Q47" s="40">
        <v>31</v>
      </c>
      <c r="R47" s="40">
        <v>32</v>
      </c>
      <c r="S47" s="40">
        <v>34</v>
      </c>
      <c r="T47" s="40">
        <v>26</v>
      </c>
      <c r="U47" s="40">
        <v>34</v>
      </c>
      <c r="V47" s="40">
        <v>14</v>
      </c>
      <c r="W47" s="40">
        <v>30</v>
      </c>
      <c r="X47" s="40">
        <v>19</v>
      </c>
      <c r="Y47" s="40">
        <v>31</v>
      </c>
      <c r="Z47" s="40">
        <v>14</v>
      </c>
      <c r="AA47" s="40">
        <v>35</v>
      </c>
      <c r="AB47" s="40">
        <v>30</v>
      </c>
      <c r="AC47" s="40">
        <v>22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839</v>
      </c>
    </row>
    <row r="48" spans="1:35" x14ac:dyDescent="0.2">
      <c r="A48" s="46">
        <v>607</v>
      </c>
      <c r="B48" s="40">
        <v>0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5</v>
      </c>
      <c r="AD48" s="40">
        <v>18</v>
      </c>
      <c r="AE48" s="40">
        <v>8</v>
      </c>
      <c r="AF48" s="40">
        <v>15</v>
      </c>
      <c r="AG48" s="40">
        <v>24</v>
      </c>
      <c r="AH48" s="40">
        <v>4</v>
      </c>
      <c r="AI48" s="40">
        <v>74</v>
      </c>
    </row>
    <row r="49" spans="1:35" x14ac:dyDescent="0.2">
      <c r="A49" s="46">
        <v>625</v>
      </c>
      <c r="B49" s="40">
        <v>0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3</v>
      </c>
      <c r="AD49" s="40">
        <v>17</v>
      </c>
      <c r="AE49" s="40">
        <v>15</v>
      </c>
      <c r="AF49" s="40">
        <v>5</v>
      </c>
      <c r="AG49" s="40">
        <v>17</v>
      </c>
      <c r="AH49" s="40">
        <v>2</v>
      </c>
      <c r="AI49" s="40">
        <v>59</v>
      </c>
    </row>
    <row r="50" spans="1:35" x14ac:dyDescent="0.2">
      <c r="A50" s="46">
        <v>627</v>
      </c>
      <c r="B50" s="40">
        <v>1004</v>
      </c>
      <c r="C50" s="40">
        <v>882</v>
      </c>
      <c r="D50" s="40">
        <v>1046</v>
      </c>
      <c r="E50" s="40">
        <v>874</v>
      </c>
      <c r="F50" s="40">
        <v>936</v>
      </c>
      <c r="G50" s="40">
        <v>878</v>
      </c>
      <c r="H50" s="40">
        <v>927</v>
      </c>
      <c r="I50" s="40">
        <v>935</v>
      </c>
      <c r="J50" s="40">
        <v>966</v>
      </c>
      <c r="K50" s="40">
        <v>904</v>
      </c>
      <c r="L50" s="40">
        <v>970</v>
      </c>
      <c r="M50" s="40">
        <v>962</v>
      </c>
      <c r="N50" s="40">
        <v>896</v>
      </c>
      <c r="O50" s="40">
        <v>811</v>
      </c>
      <c r="P50" s="40">
        <v>897</v>
      </c>
      <c r="Q50" s="40">
        <v>973</v>
      </c>
      <c r="R50" s="40">
        <v>875</v>
      </c>
      <c r="S50" s="40">
        <v>879</v>
      </c>
      <c r="T50" s="40">
        <v>843</v>
      </c>
      <c r="U50" s="40">
        <v>981</v>
      </c>
      <c r="V50" s="40">
        <v>912</v>
      </c>
      <c r="W50" s="40">
        <v>941</v>
      </c>
      <c r="X50" s="40">
        <v>848</v>
      </c>
      <c r="Y50" s="40">
        <v>891</v>
      </c>
      <c r="Z50" s="40">
        <v>1034</v>
      </c>
      <c r="AA50" s="40">
        <v>747</v>
      </c>
      <c r="AB50" s="40">
        <v>952</v>
      </c>
      <c r="AC50" s="40">
        <v>964</v>
      </c>
      <c r="AD50" s="40">
        <v>960</v>
      </c>
      <c r="AE50" s="40">
        <v>862</v>
      </c>
      <c r="AF50" s="40">
        <v>974</v>
      </c>
      <c r="AG50" s="40">
        <v>901</v>
      </c>
      <c r="AH50" s="40">
        <v>930</v>
      </c>
      <c r="AI50" s="40">
        <v>30355</v>
      </c>
    </row>
    <row r="51" spans="1:35" x14ac:dyDescent="0.2">
      <c r="A51" s="46">
        <v>642</v>
      </c>
      <c r="B51" s="40">
        <v>28</v>
      </c>
      <c r="C51" s="40">
        <v>19</v>
      </c>
      <c r="D51" s="40">
        <v>25</v>
      </c>
      <c r="E51" s="40">
        <v>38</v>
      </c>
      <c r="F51" s="40">
        <v>31</v>
      </c>
      <c r="G51" s="40">
        <v>21</v>
      </c>
      <c r="H51" s="40">
        <v>20</v>
      </c>
      <c r="I51" s="40">
        <v>64</v>
      </c>
      <c r="J51" s="40">
        <v>31</v>
      </c>
      <c r="K51" s="40">
        <v>32</v>
      </c>
      <c r="L51" s="40">
        <v>36</v>
      </c>
      <c r="M51" s="40">
        <v>28</v>
      </c>
      <c r="N51" s="40">
        <v>13</v>
      </c>
      <c r="O51" s="40">
        <v>22</v>
      </c>
      <c r="P51" s="40">
        <v>37</v>
      </c>
      <c r="Q51" s="40">
        <v>43</v>
      </c>
      <c r="R51" s="40">
        <v>39</v>
      </c>
      <c r="S51" s="40">
        <v>44</v>
      </c>
      <c r="T51" s="40">
        <v>28</v>
      </c>
      <c r="U51" s="40">
        <v>26</v>
      </c>
      <c r="V51" s="40">
        <v>12</v>
      </c>
      <c r="W51" s="40">
        <v>37</v>
      </c>
      <c r="X51" s="40">
        <v>53</v>
      </c>
      <c r="Y51" s="40">
        <v>38</v>
      </c>
      <c r="Z51" s="40">
        <v>26</v>
      </c>
      <c r="AA51" s="40">
        <v>32</v>
      </c>
      <c r="AB51" s="40">
        <v>43</v>
      </c>
      <c r="AC51" s="40">
        <v>24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890</v>
      </c>
    </row>
    <row r="52" spans="1:35" x14ac:dyDescent="0.2">
      <c r="A52" s="46">
        <v>646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6</v>
      </c>
      <c r="AD52" s="40">
        <v>50</v>
      </c>
      <c r="AE52" s="40">
        <v>37</v>
      </c>
      <c r="AF52" s="40">
        <v>55</v>
      </c>
      <c r="AG52" s="40">
        <v>27</v>
      </c>
      <c r="AH52" s="40">
        <v>32</v>
      </c>
      <c r="AI52" s="40">
        <v>207</v>
      </c>
    </row>
    <row r="53" spans="1:35" x14ac:dyDescent="0.2">
      <c r="A53" s="46">
        <v>647</v>
      </c>
      <c r="B53" s="40">
        <v>0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3</v>
      </c>
      <c r="AD53" s="40">
        <v>23</v>
      </c>
      <c r="AE53" s="40">
        <v>8</v>
      </c>
      <c r="AF53" s="40">
        <v>12</v>
      </c>
      <c r="AG53" s="40">
        <v>17</v>
      </c>
      <c r="AH53" s="40">
        <v>4</v>
      </c>
      <c r="AI53" s="40">
        <v>67</v>
      </c>
    </row>
    <row r="54" spans="1:35" x14ac:dyDescent="0.2">
      <c r="A54" s="46">
        <v>652</v>
      </c>
      <c r="B54" s="40">
        <v>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2</v>
      </c>
      <c r="AD54" s="40">
        <v>13</v>
      </c>
      <c r="AE54" s="40">
        <v>13</v>
      </c>
      <c r="AF54" s="40">
        <v>14</v>
      </c>
      <c r="AG54" s="40">
        <v>9</v>
      </c>
      <c r="AH54" s="40">
        <v>3</v>
      </c>
      <c r="AI54" s="40">
        <v>54</v>
      </c>
    </row>
    <row r="55" spans="1:35" x14ac:dyDescent="0.2">
      <c r="A55" s="46">
        <v>666</v>
      </c>
      <c r="B55" s="40">
        <v>0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7</v>
      </c>
      <c r="AD55" s="40">
        <v>11</v>
      </c>
      <c r="AE55" s="40">
        <v>24</v>
      </c>
      <c r="AF55" s="40">
        <v>18</v>
      </c>
      <c r="AG55" s="40">
        <v>19</v>
      </c>
      <c r="AH55" s="40">
        <v>4</v>
      </c>
      <c r="AI55" s="40">
        <v>83</v>
      </c>
    </row>
    <row r="56" spans="1:35" x14ac:dyDescent="0.2">
      <c r="A56" s="46">
        <v>671</v>
      </c>
      <c r="B56" s="40">
        <v>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5</v>
      </c>
      <c r="AD56" s="40">
        <v>13</v>
      </c>
      <c r="AE56" s="40">
        <v>12</v>
      </c>
      <c r="AF56" s="40">
        <v>17</v>
      </c>
      <c r="AG56" s="40">
        <v>13</v>
      </c>
      <c r="AH56" s="40">
        <v>2</v>
      </c>
      <c r="AI56" s="40">
        <v>62</v>
      </c>
    </row>
    <row r="57" spans="1:35" x14ac:dyDescent="0.2">
      <c r="A57" s="46">
        <v>677</v>
      </c>
      <c r="B57" s="40">
        <v>0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7</v>
      </c>
      <c r="AD57" s="40">
        <v>41</v>
      </c>
      <c r="AE57" s="40">
        <v>36</v>
      </c>
      <c r="AF57" s="40">
        <v>36</v>
      </c>
      <c r="AG57" s="40">
        <v>52</v>
      </c>
      <c r="AH57" s="40">
        <v>13</v>
      </c>
      <c r="AI57" s="40">
        <v>185</v>
      </c>
    </row>
    <row r="58" spans="1:35" x14ac:dyDescent="0.2">
      <c r="A58" s="46">
        <v>691</v>
      </c>
      <c r="B58" s="40">
        <v>0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15</v>
      </c>
      <c r="AD58" s="40">
        <v>23</v>
      </c>
      <c r="AE58" s="40">
        <v>18</v>
      </c>
      <c r="AF58" s="40">
        <v>25</v>
      </c>
      <c r="AG58" s="40">
        <v>51</v>
      </c>
      <c r="AH58" s="40">
        <v>0</v>
      </c>
      <c r="AI58" s="40">
        <v>132</v>
      </c>
    </row>
    <row r="59" spans="1:35" x14ac:dyDescent="0.2">
      <c r="A59" s="46">
        <v>703</v>
      </c>
      <c r="B59" s="40">
        <v>15</v>
      </c>
      <c r="C59" s="40">
        <v>32</v>
      </c>
      <c r="D59" s="40">
        <v>10</v>
      </c>
      <c r="E59" s="40">
        <v>39</v>
      </c>
      <c r="F59" s="40">
        <v>28</v>
      </c>
      <c r="G59" s="40">
        <v>41</v>
      </c>
      <c r="H59" s="40">
        <v>47</v>
      </c>
      <c r="I59" s="40">
        <v>46</v>
      </c>
      <c r="J59" s="40">
        <v>19</v>
      </c>
      <c r="K59" s="40">
        <v>23</v>
      </c>
      <c r="L59" s="40">
        <v>36</v>
      </c>
      <c r="M59" s="40">
        <v>28</v>
      </c>
      <c r="N59" s="40">
        <v>19</v>
      </c>
      <c r="O59" s="40">
        <v>28</v>
      </c>
      <c r="P59" s="40">
        <v>25</v>
      </c>
      <c r="Q59" s="40">
        <v>36</v>
      </c>
      <c r="R59" s="40">
        <v>42</v>
      </c>
      <c r="S59" s="40">
        <v>23</v>
      </c>
      <c r="T59" s="40">
        <v>39</v>
      </c>
      <c r="U59" s="40">
        <v>49</v>
      </c>
      <c r="V59" s="40">
        <v>42</v>
      </c>
      <c r="W59" s="40">
        <v>25</v>
      </c>
      <c r="X59" s="40">
        <v>35</v>
      </c>
      <c r="Y59" s="40">
        <v>32</v>
      </c>
      <c r="Z59" s="40">
        <v>27</v>
      </c>
      <c r="AA59" s="40">
        <v>29</v>
      </c>
      <c r="AB59" s="40">
        <v>22</v>
      </c>
      <c r="AC59" s="40">
        <v>28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865</v>
      </c>
    </row>
    <row r="60" spans="1:35" x14ac:dyDescent="0.2">
      <c r="A60" s="46">
        <v>705</v>
      </c>
      <c r="B60" s="40">
        <v>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8</v>
      </c>
      <c r="AD60" s="40">
        <v>9</v>
      </c>
      <c r="AE60" s="40">
        <v>15</v>
      </c>
      <c r="AF60" s="40">
        <v>18</v>
      </c>
      <c r="AG60" s="40">
        <v>15</v>
      </c>
      <c r="AH60" s="40">
        <v>3</v>
      </c>
      <c r="AI60" s="40">
        <v>68</v>
      </c>
    </row>
    <row r="61" spans="1:35" x14ac:dyDescent="0.2">
      <c r="A61" s="46">
        <v>715</v>
      </c>
      <c r="B61" s="40">
        <v>0</v>
      </c>
      <c r="C61" s="40">
        <v>0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4</v>
      </c>
      <c r="AD61" s="40">
        <v>10</v>
      </c>
      <c r="AE61" s="40">
        <v>14</v>
      </c>
      <c r="AF61" s="40">
        <v>8</v>
      </c>
      <c r="AG61" s="40">
        <v>25</v>
      </c>
      <c r="AH61" s="40">
        <v>4</v>
      </c>
      <c r="AI61" s="40">
        <v>65</v>
      </c>
    </row>
    <row r="62" spans="1:35" x14ac:dyDescent="0.2">
      <c r="A62" s="46">
        <v>724</v>
      </c>
      <c r="B62" s="40">
        <v>0</v>
      </c>
      <c r="C62" s="40">
        <v>0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9</v>
      </c>
      <c r="AD62" s="40">
        <v>34</v>
      </c>
      <c r="AE62" s="40">
        <v>57</v>
      </c>
      <c r="AF62" s="40">
        <v>48</v>
      </c>
      <c r="AG62" s="40">
        <v>53</v>
      </c>
      <c r="AH62" s="40">
        <v>19</v>
      </c>
      <c r="AI62" s="40">
        <v>220</v>
      </c>
    </row>
    <row r="63" spans="1:35" x14ac:dyDescent="0.2">
      <c r="A63" s="46">
        <v>725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8</v>
      </c>
      <c r="AD63" s="40">
        <v>11</v>
      </c>
      <c r="AE63" s="40">
        <v>19</v>
      </c>
      <c r="AF63" s="40">
        <v>18</v>
      </c>
      <c r="AG63" s="40">
        <v>14</v>
      </c>
      <c r="AH63" s="40">
        <v>2</v>
      </c>
      <c r="AI63" s="40">
        <v>72</v>
      </c>
    </row>
    <row r="64" spans="1:35" x14ac:dyDescent="0.2">
      <c r="A64" s="46">
        <v>728</v>
      </c>
      <c r="B64" s="40">
        <v>34</v>
      </c>
      <c r="C64" s="40">
        <v>46</v>
      </c>
      <c r="D64" s="40">
        <v>30</v>
      </c>
      <c r="E64" s="40">
        <v>13</v>
      </c>
      <c r="F64" s="40">
        <v>50</v>
      </c>
      <c r="G64" s="40">
        <v>47</v>
      </c>
      <c r="H64" s="40">
        <v>36</v>
      </c>
      <c r="I64" s="40">
        <v>35</v>
      </c>
      <c r="J64" s="40">
        <v>28</v>
      </c>
      <c r="K64" s="40">
        <v>29</v>
      </c>
      <c r="L64" s="40">
        <v>28</v>
      </c>
      <c r="M64" s="40">
        <v>36</v>
      </c>
      <c r="N64" s="40">
        <v>18</v>
      </c>
      <c r="O64" s="40">
        <v>36</v>
      </c>
      <c r="P64" s="40">
        <v>24</v>
      </c>
      <c r="Q64" s="40">
        <v>50</v>
      </c>
      <c r="R64" s="40">
        <v>45</v>
      </c>
      <c r="S64" s="40">
        <v>33</v>
      </c>
      <c r="T64" s="40">
        <v>32</v>
      </c>
      <c r="U64" s="40">
        <v>27</v>
      </c>
      <c r="V64" s="40">
        <v>34</v>
      </c>
      <c r="W64" s="40">
        <v>24</v>
      </c>
      <c r="X64" s="40">
        <v>8</v>
      </c>
      <c r="Y64" s="40">
        <v>46</v>
      </c>
      <c r="Z64" s="40">
        <v>27</v>
      </c>
      <c r="AA64" s="40">
        <v>43</v>
      </c>
      <c r="AB64" s="40">
        <v>20</v>
      </c>
      <c r="AC64" s="40">
        <v>24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903</v>
      </c>
    </row>
    <row r="65" spans="1:35" x14ac:dyDescent="0.2">
      <c r="A65" s="46">
        <v>730</v>
      </c>
      <c r="B65" s="40">
        <v>0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3</v>
      </c>
      <c r="AD65" s="40">
        <v>44</v>
      </c>
      <c r="AE65" s="40">
        <v>53</v>
      </c>
      <c r="AF65" s="40">
        <v>35</v>
      </c>
      <c r="AG65" s="40">
        <v>40</v>
      </c>
      <c r="AH65" s="40">
        <v>14</v>
      </c>
      <c r="AI65" s="40">
        <v>189</v>
      </c>
    </row>
    <row r="66" spans="1:35" x14ac:dyDescent="0.2">
      <c r="A66" s="46">
        <v>743</v>
      </c>
      <c r="B66" s="40">
        <v>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4</v>
      </c>
      <c r="AD66" s="40">
        <v>18</v>
      </c>
      <c r="AE66" s="40">
        <v>11</v>
      </c>
      <c r="AF66" s="40">
        <v>12</v>
      </c>
      <c r="AG66" s="40">
        <v>16</v>
      </c>
      <c r="AH66" s="40">
        <v>0</v>
      </c>
      <c r="AI66" s="40">
        <v>61</v>
      </c>
    </row>
    <row r="67" spans="1:35" x14ac:dyDescent="0.2">
      <c r="A67" s="46">
        <v>768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33</v>
      </c>
      <c r="AI67" s="40">
        <v>33</v>
      </c>
    </row>
    <row r="68" spans="1:35" x14ac:dyDescent="0.2">
      <c r="A68" s="46">
        <v>771</v>
      </c>
      <c r="B68" s="40">
        <v>24</v>
      </c>
      <c r="C68" s="40">
        <v>16</v>
      </c>
      <c r="D68" s="40">
        <v>29</v>
      </c>
      <c r="E68" s="40">
        <v>25</v>
      </c>
      <c r="F68" s="40">
        <v>56</v>
      </c>
      <c r="G68" s="40">
        <v>22</v>
      </c>
      <c r="H68" s="40">
        <v>40</v>
      </c>
      <c r="I68" s="40">
        <v>25</v>
      </c>
      <c r="J68" s="40">
        <v>10</v>
      </c>
      <c r="K68" s="40">
        <v>35</v>
      </c>
      <c r="L68" s="40">
        <v>39</v>
      </c>
      <c r="M68" s="40">
        <v>27</v>
      </c>
      <c r="N68" s="40">
        <v>29</v>
      </c>
      <c r="O68" s="40">
        <v>34</v>
      </c>
      <c r="P68" s="40">
        <v>28</v>
      </c>
      <c r="Q68" s="40">
        <v>28</v>
      </c>
      <c r="R68" s="40">
        <v>40</v>
      </c>
      <c r="S68" s="40">
        <v>32</v>
      </c>
      <c r="T68" s="40">
        <v>28</v>
      </c>
      <c r="U68" s="40">
        <v>33</v>
      </c>
      <c r="V68" s="40">
        <v>13</v>
      </c>
      <c r="W68" s="40">
        <v>41</v>
      </c>
      <c r="X68" s="40">
        <v>33</v>
      </c>
      <c r="Y68" s="40">
        <v>29</v>
      </c>
      <c r="Z68" s="40">
        <v>29</v>
      </c>
      <c r="AA68" s="40">
        <v>14</v>
      </c>
      <c r="AB68" s="40">
        <v>54</v>
      </c>
      <c r="AC68" s="40">
        <v>14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827</v>
      </c>
    </row>
    <row r="69" spans="1:35" x14ac:dyDescent="0.2">
      <c r="A69" s="46">
        <v>773</v>
      </c>
      <c r="B69" s="40">
        <v>0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1</v>
      </c>
      <c r="AD69" s="40">
        <v>9</v>
      </c>
      <c r="AE69" s="40">
        <v>15</v>
      </c>
      <c r="AF69" s="40">
        <v>8</v>
      </c>
      <c r="AG69" s="40">
        <v>10</v>
      </c>
      <c r="AH69" s="40">
        <v>8</v>
      </c>
      <c r="AI69" s="40">
        <v>51</v>
      </c>
    </row>
    <row r="70" spans="1:35" x14ac:dyDescent="0.2">
      <c r="A70" s="46">
        <v>775</v>
      </c>
      <c r="B70" s="40">
        <v>31</v>
      </c>
      <c r="C70" s="40">
        <v>45</v>
      </c>
      <c r="D70" s="40">
        <v>29</v>
      </c>
      <c r="E70" s="40">
        <v>37</v>
      </c>
      <c r="F70" s="40">
        <v>54</v>
      </c>
      <c r="G70" s="40">
        <v>36</v>
      </c>
      <c r="H70" s="40">
        <v>19</v>
      </c>
      <c r="I70" s="40">
        <v>21</v>
      </c>
      <c r="J70" s="40">
        <v>35</v>
      </c>
      <c r="K70" s="40">
        <v>13</v>
      </c>
      <c r="L70" s="40">
        <v>50</v>
      </c>
      <c r="M70" s="40">
        <v>27</v>
      </c>
      <c r="N70" s="40">
        <v>20</v>
      </c>
      <c r="O70" s="40">
        <v>20</v>
      </c>
      <c r="P70" s="40">
        <v>25</v>
      </c>
      <c r="Q70" s="40">
        <v>34</v>
      </c>
      <c r="R70" s="40">
        <v>34</v>
      </c>
      <c r="S70" s="40">
        <v>21</v>
      </c>
      <c r="T70" s="40">
        <v>18</v>
      </c>
      <c r="U70" s="40">
        <v>36</v>
      </c>
      <c r="V70" s="40">
        <v>16</v>
      </c>
      <c r="W70" s="40">
        <v>38</v>
      </c>
      <c r="X70" s="40">
        <v>35</v>
      </c>
      <c r="Y70" s="40">
        <v>30</v>
      </c>
      <c r="Z70" s="40">
        <v>29</v>
      </c>
      <c r="AA70" s="40">
        <v>33</v>
      </c>
      <c r="AB70" s="40">
        <v>34</v>
      </c>
      <c r="AC70" s="40">
        <v>25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845</v>
      </c>
    </row>
    <row r="71" spans="1:35" x14ac:dyDescent="0.2">
      <c r="A71" s="46">
        <v>777</v>
      </c>
      <c r="B71" s="40">
        <v>0</v>
      </c>
      <c r="C71" s="40">
        <v>0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4</v>
      </c>
      <c r="AD71" s="40">
        <v>69</v>
      </c>
      <c r="AE71" s="40">
        <v>29</v>
      </c>
      <c r="AF71" s="40">
        <v>25</v>
      </c>
      <c r="AG71" s="40">
        <v>52</v>
      </c>
      <c r="AH71" s="40">
        <v>24</v>
      </c>
      <c r="AI71" s="40">
        <v>203</v>
      </c>
    </row>
    <row r="72" spans="1:35" x14ac:dyDescent="0.2">
      <c r="A72" s="46">
        <v>778</v>
      </c>
      <c r="B72" s="40">
        <v>39</v>
      </c>
      <c r="C72" s="40">
        <v>13</v>
      </c>
      <c r="D72" s="40">
        <v>37</v>
      </c>
      <c r="E72" s="40">
        <v>32</v>
      </c>
      <c r="F72" s="40">
        <v>32</v>
      </c>
      <c r="G72" s="40">
        <v>30</v>
      </c>
      <c r="H72" s="40">
        <v>28</v>
      </c>
      <c r="I72" s="40">
        <v>18</v>
      </c>
      <c r="J72" s="40">
        <v>32</v>
      </c>
      <c r="K72" s="40">
        <v>24</v>
      </c>
      <c r="L72" s="40">
        <v>51</v>
      </c>
      <c r="M72" s="40">
        <v>34</v>
      </c>
      <c r="N72" s="40">
        <v>19</v>
      </c>
      <c r="O72" s="40">
        <v>20</v>
      </c>
      <c r="P72" s="40">
        <v>34</v>
      </c>
      <c r="Q72" s="40">
        <v>16</v>
      </c>
      <c r="R72" s="40">
        <v>35</v>
      </c>
      <c r="S72" s="40">
        <v>30</v>
      </c>
      <c r="T72" s="40">
        <v>26</v>
      </c>
      <c r="U72" s="40">
        <v>35</v>
      </c>
      <c r="V72" s="40">
        <v>21</v>
      </c>
      <c r="W72" s="40">
        <v>20</v>
      </c>
      <c r="X72" s="40">
        <v>36</v>
      </c>
      <c r="Y72" s="40">
        <v>47</v>
      </c>
      <c r="Z72" s="40">
        <v>11</v>
      </c>
      <c r="AA72" s="40">
        <v>30</v>
      </c>
      <c r="AB72" s="40">
        <v>33</v>
      </c>
      <c r="AC72" s="40">
        <v>24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807</v>
      </c>
    </row>
    <row r="73" spans="1:35" x14ac:dyDescent="0.2">
      <c r="A73" s="46">
        <v>786</v>
      </c>
      <c r="B73" s="40">
        <v>0</v>
      </c>
      <c r="C73" s="40">
        <v>0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4</v>
      </c>
      <c r="AD73" s="40">
        <v>14</v>
      </c>
      <c r="AE73" s="40">
        <v>14</v>
      </c>
      <c r="AF73" s="40">
        <v>13</v>
      </c>
      <c r="AG73" s="40">
        <v>15</v>
      </c>
      <c r="AH73" s="40">
        <v>3</v>
      </c>
      <c r="AI73" s="40">
        <v>63</v>
      </c>
    </row>
    <row r="74" spans="1:35" x14ac:dyDescent="0.2">
      <c r="A74" s="46">
        <v>792</v>
      </c>
      <c r="B74" s="40">
        <v>22</v>
      </c>
      <c r="C74" s="40">
        <v>25</v>
      </c>
      <c r="D74" s="40">
        <v>37</v>
      </c>
      <c r="E74" s="40">
        <v>34</v>
      </c>
      <c r="F74" s="40">
        <v>30</v>
      </c>
      <c r="G74" s="40">
        <v>14</v>
      </c>
      <c r="H74" s="40">
        <v>25</v>
      </c>
      <c r="I74" s="40">
        <v>45</v>
      </c>
      <c r="J74" s="40">
        <v>29</v>
      </c>
      <c r="K74" s="40">
        <v>34</v>
      </c>
      <c r="L74" s="40">
        <v>28</v>
      </c>
      <c r="M74" s="40">
        <v>32</v>
      </c>
      <c r="N74" s="40">
        <v>44</v>
      </c>
      <c r="O74" s="40">
        <v>13</v>
      </c>
      <c r="P74" s="40">
        <v>30</v>
      </c>
      <c r="Q74" s="40">
        <v>36</v>
      </c>
      <c r="R74" s="40">
        <v>22</v>
      </c>
      <c r="S74" s="40">
        <v>43</v>
      </c>
      <c r="T74" s="40">
        <v>21</v>
      </c>
      <c r="U74" s="40">
        <v>13</v>
      </c>
      <c r="V74" s="40">
        <v>26</v>
      </c>
      <c r="W74" s="40">
        <v>35</v>
      </c>
      <c r="X74" s="40">
        <v>36</v>
      </c>
      <c r="Y74" s="40">
        <v>29</v>
      </c>
      <c r="Z74" s="40">
        <v>40</v>
      </c>
      <c r="AA74" s="40">
        <v>38</v>
      </c>
      <c r="AB74" s="40">
        <v>28</v>
      </c>
      <c r="AC74" s="40">
        <v>17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826</v>
      </c>
    </row>
    <row r="75" spans="1:35" x14ac:dyDescent="0.2">
      <c r="A75" s="46">
        <v>793</v>
      </c>
      <c r="B75" s="40">
        <v>31</v>
      </c>
      <c r="C75" s="40">
        <v>25</v>
      </c>
      <c r="D75" s="40">
        <v>48</v>
      </c>
      <c r="E75" s="40">
        <v>49</v>
      </c>
      <c r="F75" s="40">
        <v>35</v>
      </c>
      <c r="G75" s="40">
        <v>32</v>
      </c>
      <c r="H75" s="40">
        <v>25</v>
      </c>
      <c r="I75" s="40">
        <v>27</v>
      </c>
      <c r="J75" s="40">
        <v>16</v>
      </c>
      <c r="K75" s="40">
        <v>59</v>
      </c>
      <c r="L75" s="40">
        <v>19</v>
      </c>
      <c r="M75" s="40">
        <v>24</v>
      </c>
      <c r="N75" s="40">
        <v>25</v>
      </c>
      <c r="O75" s="40">
        <v>34</v>
      </c>
      <c r="P75" s="40">
        <v>27</v>
      </c>
      <c r="Q75" s="40">
        <v>22</v>
      </c>
      <c r="R75" s="40">
        <v>32</v>
      </c>
      <c r="S75" s="40">
        <v>27</v>
      </c>
      <c r="T75" s="40">
        <v>55</v>
      </c>
      <c r="U75" s="40">
        <v>43</v>
      </c>
      <c r="V75" s="40">
        <v>40</v>
      </c>
      <c r="W75" s="40">
        <v>24</v>
      </c>
      <c r="X75" s="40">
        <v>20</v>
      </c>
      <c r="Y75" s="40">
        <v>26</v>
      </c>
      <c r="Z75" s="40">
        <v>16</v>
      </c>
      <c r="AA75" s="40">
        <v>13</v>
      </c>
      <c r="AB75" s="40">
        <v>30</v>
      </c>
      <c r="AC75" s="40">
        <v>12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836</v>
      </c>
    </row>
    <row r="76" spans="1:35" x14ac:dyDescent="0.2">
      <c r="A76" s="46">
        <v>797</v>
      </c>
      <c r="B76" s="40">
        <v>32</v>
      </c>
      <c r="C76" s="40">
        <v>15</v>
      </c>
      <c r="D76" s="40">
        <v>50</v>
      </c>
      <c r="E76" s="40">
        <v>37</v>
      </c>
      <c r="F76" s="40">
        <v>46</v>
      </c>
      <c r="G76" s="40">
        <v>22</v>
      </c>
      <c r="H76" s="40">
        <v>31</v>
      </c>
      <c r="I76" s="40">
        <v>24</v>
      </c>
      <c r="J76" s="40">
        <v>32</v>
      </c>
      <c r="K76" s="40">
        <v>33</v>
      </c>
      <c r="L76" s="40">
        <v>53</v>
      </c>
      <c r="M76" s="40">
        <v>32</v>
      </c>
      <c r="N76" s="40">
        <v>31</v>
      </c>
      <c r="O76" s="40">
        <v>32</v>
      </c>
      <c r="P76" s="40">
        <v>15</v>
      </c>
      <c r="Q76" s="40">
        <v>39</v>
      </c>
      <c r="R76" s="40">
        <v>32</v>
      </c>
      <c r="S76" s="40">
        <v>40</v>
      </c>
      <c r="T76" s="40">
        <v>30</v>
      </c>
      <c r="U76" s="40">
        <v>8</v>
      </c>
      <c r="V76" s="40">
        <v>38</v>
      </c>
      <c r="W76" s="40">
        <v>23</v>
      </c>
      <c r="X76" s="40">
        <v>8</v>
      </c>
      <c r="Y76" s="40">
        <v>46</v>
      </c>
      <c r="Z76" s="40">
        <v>31</v>
      </c>
      <c r="AA76" s="40">
        <v>34</v>
      </c>
      <c r="AB76" s="40">
        <v>30</v>
      </c>
      <c r="AC76" s="40">
        <v>11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855</v>
      </c>
    </row>
    <row r="77" spans="1:35" x14ac:dyDescent="0.2">
      <c r="A77" s="46">
        <v>804</v>
      </c>
      <c r="B77" s="40">
        <v>27</v>
      </c>
      <c r="C77" s="40">
        <v>36</v>
      </c>
      <c r="D77" s="40">
        <v>48</v>
      </c>
      <c r="E77" s="40">
        <v>45</v>
      </c>
      <c r="F77" s="40">
        <v>50</v>
      </c>
      <c r="G77" s="40">
        <v>25</v>
      </c>
      <c r="H77" s="40">
        <v>29</v>
      </c>
      <c r="I77" s="40">
        <v>45</v>
      </c>
      <c r="J77" s="40">
        <v>34</v>
      </c>
      <c r="K77" s="40">
        <v>12</v>
      </c>
      <c r="L77" s="40">
        <v>27</v>
      </c>
      <c r="M77" s="40">
        <v>53</v>
      </c>
      <c r="N77" s="40">
        <v>41</v>
      </c>
      <c r="O77" s="40">
        <v>52</v>
      </c>
      <c r="P77" s="40">
        <v>18</v>
      </c>
      <c r="Q77" s="40">
        <v>12</v>
      </c>
      <c r="R77" s="40">
        <v>20</v>
      </c>
      <c r="S77" s="40">
        <v>20</v>
      </c>
      <c r="T77" s="40">
        <v>30</v>
      </c>
      <c r="U77" s="40">
        <v>29</v>
      </c>
      <c r="V77" s="40">
        <v>34</v>
      </c>
      <c r="W77" s="40">
        <v>26</v>
      </c>
      <c r="X77" s="40">
        <v>37</v>
      </c>
      <c r="Y77" s="40">
        <v>39</v>
      </c>
      <c r="Z77" s="40">
        <v>37</v>
      </c>
      <c r="AA77" s="40">
        <v>32</v>
      </c>
      <c r="AB77" s="40">
        <v>20</v>
      </c>
      <c r="AC77" s="40">
        <v>22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  <c r="AI77" s="40">
        <v>900</v>
      </c>
    </row>
    <row r="78" spans="1:35" x14ac:dyDescent="0.2">
      <c r="A78" s="46">
        <v>810</v>
      </c>
      <c r="B78" s="40">
        <v>32</v>
      </c>
      <c r="C78" s="40">
        <v>19</v>
      </c>
      <c r="D78" s="40">
        <v>23</v>
      </c>
      <c r="E78" s="40">
        <v>9</v>
      </c>
      <c r="F78" s="40">
        <v>33</v>
      </c>
      <c r="G78" s="40">
        <v>29</v>
      </c>
      <c r="H78" s="40">
        <v>27</v>
      </c>
      <c r="I78" s="40">
        <v>28</v>
      </c>
      <c r="J78" s="40">
        <v>26</v>
      </c>
      <c r="K78" s="40">
        <v>44</v>
      </c>
      <c r="L78" s="40">
        <v>35</v>
      </c>
      <c r="M78" s="40">
        <v>22</v>
      </c>
      <c r="N78" s="40">
        <v>38</v>
      </c>
      <c r="O78" s="40">
        <v>30</v>
      </c>
      <c r="P78" s="40">
        <v>7</v>
      </c>
      <c r="Q78" s="40">
        <v>17</v>
      </c>
      <c r="R78" s="40">
        <v>34</v>
      </c>
      <c r="S78" s="40">
        <v>25</v>
      </c>
      <c r="T78" s="40">
        <v>17</v>
      </c>
      <c r="U78" s="40">
        <v>20</v>
      </c>
      <c r="V78" s="40">
        <v>45</v>
      </c>
      <c r="W78" s="40">
        <v>21</v>
      </c>
      <c r="X78" s="40">
        <v>30</v>
      </c>
      <c r="Y78" s="40">
        <v>23</v>
      </c>
      <c r="Z78" s="40">
        <v>38</v>
      </c>
      <c r="AA78" s="40">
        <v>26</v>
      </c>
      <c r="AB78" s="40">
        <v>26</v>
      </c>
      <c r="AC78" s="40">
        <v>18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  <c r="AI78" s="40">
        <v>742</v>
      </c>
    </row>
    <row r="79" spans="1:35" x14ac:dyDescent="0.2">
      <c r="A79" s="46">
        <v>818</v>
      </c>
      <c r="B79" s="40">
        <v>35</v>
      </c>
      <c r="C79" s="40">
        <v>31</v>
      </c>
      <c r="D79" s="40">
        <v>39</v>
      </c>
      <c r="E79" s="40">
        <v>26</v>
      </c>
      <c r="F79" s="40">
        <v>38</v>
      </c>
      <c r="G79" s="40">
        <v>38</v>
      </c>
      <c r="H79" s="40">
        <v>38</v>
      </c>
      <c r="I79" s="40">
        <v>27</v>
      </c>
      <c r="J79" s="40">
        <v>23</v>
      </c>
      <c r="K79" s="40">
        <v>11</v>
      </c>
      <c r="L79" s="40">
        <v>34</v>
      </c>
      <c r="M79" s="40">
        <v>33</v>
      </c>
      <c r="N79" s="40">
        <v>16</v>
      </c>
      <c r="O79" s="40">
        <v>34</v>
      </c>
      <c r="P79" s="40">
        <v>38</v>
      </c>
      <c r="Q79" s="40">
        <v>28</v>
      </c>
      <c r="R79" s="40">
        <v>16</v>
      </c>
      <c r="S79" s="40">
        <v>33</v>
      </c>
      <c r="T79" s="40">
        <v>44</v>
      </c>
      <c r="U79" s="40">
        <v>27</v>
      </c>
      <c r="V79" s="40">
        <v>31</v>
      </c>
      <c r="W79" s="40">
        <v>34</v>
      </c>
      <c r="X79" s="40">
        <v>19</v>
      </c>
      <c r="Y79" s="40">
        <v>40</v>
      </c>
      <c r="Z79" s="40">
        <v>26</v>
      </c>
      <c r="AA79" s="40">
        <v>40</v>
      </c>
      <c r="AB79" s="40">
        <v>41</v>
      </c>
      <c r="AC79" s="40">
        <v>9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40">
        <v>849</v>
      </c>
    </row>
    <row r="80" spans="1:35" x14ac:dyDescent="0.2">
      <c r="A80" s="46">
        <v>821</v>
      </c>
      <c r="B80" s="40">
        <v>36</v>
      </c>
      <c r="C80" s="40">
        <v>25</v>
      </c>
      <c r="D80" s="40">
        <v>34</v>
      </c>
      <c r="E80" s="40">
        <v>21</v>
      </c>
      <c r="F80" s="40">
        <v>35</v>
      </c>
      <c r="G80" s="40">
        <v>13</v>
      </c>
      <c r="H80" s="40">
        <v>28</v>
      </c>
      <c r="I80" s="40">
        <v>32</v>
      </c>
      <c r="J80" s="40">
        <v>47</v>
      </c>
      <c r="K80" s="40">
        <v>31</v>
      </c>
      <c r="L80" s="40">
        <v>29</v>
      </c>
      <c r="M80" s="40">
        <v>34</v>
      </c>
      <c r="N80" s="40">
        <v>28</v>
      </c>
      <c r="O80" s="40">
        <v>20</v>
      </c>
      <c r="P80" s="40">
        <v>20</v>
      </c>
      <c r="Q80" s="40">
        <v>34</v>
      </c>
      <c r="R80" s="40">
        <v>55</v>
      </c>
      <c r="S80" s="40">
        <v>26</v>
      </c>
      <c r="T80" s="40">
        <v>32</v>
      </c>
      <c r="U80" s="40">
        <v>32</v>
      </c>
      <c r="V80" s="40">
        <v>31</v>
      </c>
      <c r="W80" s="40">
        <v>32</v>
      </c>
      <c r="X80" s="40">
        <v>28</v>
      </c>
      <c r="Y80" s="40">
        <v>9</v>
      </c>
      <c r="Z80" s="40">
        <v>29</v>
      </c>
      <c r="AA80" s="40">
        <v>40</v>
      </c>
      <c r="AB80" s="40">
        <v>28</v>
      </c>
      <c r="AC80" s="40">
        <v>11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820</v>
      </c>
    </row>
    <row r="81" spans="1:35" x14ac:dyDescent="0.2">
      <c r="A81" s="46">
        <v>822</v>
      </c>
      <c r="B81" s="40">
        <v>35</v>
      </c>
      <c r="C81" s="40">
        <v>30</v>
      </c>
      <c r="D81" s="40">
        <v>38</v>
      </c>
      <c r="E81" s="40">
        <v>19</v>
      </c>
      <c r="F81" s="40">
        <v>30</v>
      </c>
      <c r="G81" s="40">
        <v>36</v>
      </c>
      <c r="H81" s="40">
        <v>22</v>
      </c>
      <c r="I81" s="40">
        <v>20</v>
      </c>
      <c r="J81" s="40">
        <v>24</v>
      </c>
      <c r="K81" s="40">
        <v>26</v>
      </c>
      <c r="L81" s="40">
        <v>42</v>
      </c>
      <c r="M81" s="40">
        <v>34</v>
      </c>
      <c r="N81" s="40">
        <v>16</v>
      </c>
      <c r="O81" s="40">
        <v>28</v>
      </c>
      <c r="P81" s="40">
        <v>20</v>
      </c>
      <c r="Q81" s="40">
        <v>14</v>
      </c>
      <c r="R81" s="40">
        <v>13</v>
      </c>
      <c r="S81" s="40">
        <v>18</v>
      </c>
      <c r="T81" s="40">
        <v>22</v>
      </c>
      <c r="U81" s="40">
        <v>39</v>
      </c>
      <c r="V81" s="40">
        <v>31</v>
      </c>
      <c r="W81" s="40">
        <v>32</v>
      </c>
      <c r="X81" s="40">
        <v>36</v>
      </c>
      <c r="Y81" s="40">
        <v>30</v>
      </c>
      <c r="Z81" s="40">
        <v>38</v>
      </c>
      <c r="AA81" s="40">
        <v>28</v>
      </c>
      <c r="AB81" s="40">
        <v>38</v>
      </c>
      <c r="AC81" s="40">
        <v>18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40">
        <v>777</v>
      </c>
    </row>
    <row r="82" spans="1:35" x14ac:dyDescent="0.2">
      <c r="A82" s="46">
        <v>823</v>
      </c>
      <c r="B82" s="40">
        <v>44</v>
      </c>
      <c r="C82" s="40">
        <v>50</v>
      </c>
      <c r="D82" s="40">
        <v>28</v>
      </c>
      <c r="E82" s="40">
        <v>14</v>
      </c>
      <c r="F82" s="40">
        <v>48</v>
      </c>
      <c r="G82" s="40">
        <v>26</v>
      </c>
      <c r="H82" s="40">
        <v>18</v>
      </c>
      <c r="I82" s="40">
        <v>26</v>
      </c>
      <c r="J82" s="40">
        <v>30</v>
      </c>
      <c r="K82" s="40">
        <v>22</v>
      </c>
      <c r="L82" s="40">
        <v>47</v>
      </c>
      <c r="M82" s="40">
        <v>35</v>
      </c>
      <c r="N82" s="40">
        <v>35</v>
      </c>
      <c r="O82" s="40">
        <v>26</v>
      </c>
      <c r="P82" s="40">
        <v>14</v>
      </c>
      <c r="Q82" s="40">
        <v>4</v>
      </c>
      <c r="R82" s="40">
        <v>21</v>
      </c>
      <c r="S82" s="40">
        <v>35</v>
      </c>
      <c r="T82" s="40">
        <v>26</v>
      </c>
      <c r="U82" s="40">
        <v>47</v>
      </c>
      <c r="V82" s="40">
        <v>47</v>
      </c>
      <c r="W82" s="40">
        <v>38</v>
      </c>
      <c r="X82" s="40">
        <v>38</v>
      </c>
      <c r="Y82" s="40">
        <v>29</v>
      </c>
      <c r="Z82" s="40">
        <v>47</v>
      </c>
      <c r="AA82" s="40">
        <v>14</v>
      </c>
      <c r="AB82" s="40">
        <v>43</v>
      </c>
      <c r="AC82" s="40">
        <v>24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876</v>
      </c>
    </row>
    <row r="83" spans="1:35" x14ac:dyDescent="0.2">
      <c r="A83" s="46">
        <v>825</v>
      </c>
      <c r="B83" s="40">
        <v>16</v>
      </c>
      <c r="C83" s="40">
        <v>21</v>
      </c>
      <c r="D83" s="40">
        <v>16</v>
      </c>
      <c r="E83" s="40">
        <v>20</v>
      </c>
      <c r="F83" s="40">
        <v>32</v>
      </c>
      <c r="G83" s="40">
        <v>12</v>
      </c>
      <c r="H83" s="40">
        <v>22</v>
      </c>
      <c r="I83" s="40">
        <v>20</v>
      </c>
      <c r="J83" s="40">
        <v>28</v>
      </c>
      <c r="K83" s="40">
        <v>49</v>
      </c>
      <c r="L83" s="40">
        <v>28</v>
      </c>
      <c r="M83" s="40">
        <v>40</v>
      </c>
      <c r="N83" s="40">
        <v>31</v>
      </c>
      <c r="O83" s="40">
        <v>41</v>
      </c>
      <c r="P83" s="40">
        <v>15</v>
      </c>
      <c r="Q83" s="40">
        <v>17</v>
      </c>
      <c r="R83" s="40">
        <v>17</v>
      </c>
      <c r="S83" s="40">
        <v>43</v>
      </c>
      <c r="T83" s="40">
        <v>17</v>
      </c>
      <c r="U83" s="40">
        <v>35</v>
      </c>
      <c r="V83" s="40">
        <v>31</v>
      </c>
      <c r="W83" s="40">
        <v>28</v>
      </c>
      <c r="X83" s="40">
        <v>36</v>
      </c>
      <c r="Y83" s="40">
        <v>30</v>
      </c>
      <c r="Z83" s="40">
        <v>34</v>
      </c>
      <c r="AA83" s="40">
        <v>36</v>
      </c>
      <c r="AB83" s="40">
        <v>30</v>
      </c>
      <c r="AC83" s="40">
        <v>15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40">
        <v>760</v>
      </c>
    </row>
    <row r="84" spans="1:35" x14ac:dyDescent="0.2">
      <c r="A84" s="46">
        <v>828</v>
      </c>
      <c r="B84" s="40">
        <v>32</v>
      </c>
      <c r="C84" s="40">
        <v>22</v>
      </c>
      <c r="D84" s="40">
        <v>35</v>
      </c>
      <c r="E84" s="40">
        <v>29</v>
      </c>
      <c r="F84" s="40">
        <v>21</v>
      </c>
      <c r="G84" s="40">
        <v>27</v>
      </c>
      <c r="H84" s="40">
        <v>27</v>
      </c>
      <c r="I84" s="40">
        <v>46</v>
      </c>
      <c r="J84" s="40">
        <v>33</v>
      </c>
      <c r="K84" s="40">
        <v>22</v>
      </c>
      <c r="L84" s="40">
        <v>30</v>
      </c>
      <c r="M84" s="40">
        <v>27</v>
      </c>
      <c r="N84" s="40">
        <v>57</v>
      </c>
      <c r="O84" s="40">
        <v>28</v>
      </c>
      <c r="P84" s="40">
        <v>43</v>
      </c>
      <c r="Q84" s="40">
        <v>23</v>
      </c>
      <c r="R84" s="40">
        <v>45</v>
      </c>
      <c r="S84" s="40">
        <v>40</v>
      </c>
      <c r="T84" s="40">
        <v>27</v>
      </c>
      <c r="U84" s="40">
        <v>32</v>
      </c>
      <c r="V84" s="40">
        <v>17</v>
      </c>
      <c r="W84" s="40">
        <v>43</v>
      </c>
      <c r="X84" s="40">
        <v>24</v>
      </c>
      <c r="Y84" s="40">
        <v>27</v>
      </c>
      <c r="Z84" s="40">
        <v>29</v>
      </c>
      <c r="AA84" s="40">
        <v>24</v>
      </c>
      <c r="AB84" s="40">
        <v>39</v>
      </c>
      <c r="AC84" s="40">
        <v>27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876</v>
      </c>
    </row>
    <row r="85" spans="1:35" x14ac:dyDescent="0.2">
      <c r="A85" s="46">
        <v>835</v>
      </c>
      <c r="B85" s="40">
        <v>56</v>
      </c>
      <c r="C85" s="40">
        <v>29</v>
      </c>
      <c r="D85" s="40">
        <v>17</v>
      </c>
      <c r="E85" s="40">
        <v>42</v>
      </c>
      <c r="F85" s="40">
        <v>23</v>
      </c>
      <c r="G85" s="40">
        <v>42</v>
      </c>
      <c r="H85" s="40">
        <v>46</v>
      </c>
      <c r="I85" s="40">
        <v>43</v>
      </c>
      <c r="J85" s="40">
        <v>27</v>
      </c>
      <c r="K85" s="40">
        <v>37</v>
      </c>
      <c r="L85" s="40">
        <v>23</v>
      </c>
      <c r="M85" s="40">
        <v>35</v>
      </c>
      <c r="N85" s="40">
        <v>17</v>
      </c>
      <c r="O85" s="40">
        <v>20</v>
      </c>
      <c r="P85" s="40">
        <v>34</v>
      </c>
      <c r="Q85" s="40">
        <v>35</v>
      </c>
      <c r="R85" s="40">
        <v>36</v>
      </c>
      <c r="S85" s="40">
        <v>27</v>
      </c>
      <c r="T85" s="40">
        <v>28</v>
      </c>
      <c r="U85" s="40">
        <v>30</v>
      </c>
      <c r="V85" s="40">
        <v>36</v>
      </c>
      <c r="W85" s="40">
        <v>58</v>
      </c>
      <c r="X85" s="40">
        <v>44</v>
      </c>
      <c r="Y85" s="40">
        <v>26</v>
      </c>
      <c r="Z85" s="40">
        <v>19</v>
      </c>
      <c r="AA85" s="40">
        <v>19</v>
      </c>
      <c r="AB85" s="40">
        <v>32</v>
      </c>
      <c r="AC85" s="40">
        <v>6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40">
        <v>887</v>
      </c>
    </row>
    <row r="86" spans="1:35" x14ac:dyDescent="0.2">
      <c r="A86" s="46">
        <v>845</v>
      </c>
      <c r="B86" s="40">
        <v>0</v>
      </c>
      <c r="C86" s="40">
        <v>0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31</v>
      </c>
      <c r="AI86" s="40">
        <v>31</v>
      </c>
    </row>
    <row r="87" spans="1:35" x14ac:dyDescent="0.2">
      <c r="A87" s="46">
        <v>858</v>
      </c>
      <c r="B87" s="40">
        <v>0</v>
      </c>
      <c r="C87" s="40">
        <v>0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4</v>
      </c>
      <c r="AD87" s="40">
        <v>12</v>
      </c>
      <c r="AE87" s="40">
        <v>11</v>
      </c>
      <c r="AF87" s="40">
        <v>15</v>
      </c>
      <c r="AG87" s="40">
        <v>11</v>
      </c>
      <c r="AH87" s="40">
        <v>3</v>
      </c>
      <c r="AI87" s="40">
        <v>56</v>
      </c>
    </row>
    <row r="88" spans="1:35" x14ac:dyDescent="0.2">
      <c r="A88" s="46">
        <v>860</v>
      </c>
      <c r="B88" s="40">
        <v>0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4</v>
      </c>
      <c r="AI88" s="40">
        <v>4</v>
      </c>
    </row>
    <row r="89" spans="1:35" x14ac:dyDescent="0.2">
      <c r="A89" s="46">
        <v>885</v>
      </c>
      <c r="B89" s="40">
        <v>31</v>
      </c>
      <c r="C89" s="40">
        <v>23</v>
      </c>
      <c r="D89" s="40">
        <v>19</v>
      </c>
      <c r="E89" s="40">
        <v>27</v>
      </c>
      <c r="F89" s="40">
        <v>44</v>
      </c>
      <c r="G89" s="40">
        <v>34</v>
      </c>
      <c r="H89" s="40">
        <v>29</v>
      </c>
      <c r="I89" s="40">
        <v>18</v>
      </c>
      <c r="J89" s="40">
        <v>36</v>
      </c>
      <c r="K89" s="40">
        <v>29</v>
      </c>
      <c r="L89" s="40">
        <v>29</v>
      </c>
      <c r="M89" s="40">
        <v>42</v>
      </c>
      <c r="N89" s="40">
        <v>36</v>
      </c>
      <c r="O89" s="40">
        <v>35</v>
      </c>
      <c r="P89" s="40">
        <v>32</v>
      </c>
      <c r="Q89" s="40">
        <v>45</v>
      </c>
      <c r="R89" s="40">
        <v>36</v>
      </c>
      <c r="S89" s="40">
        <v>29</v>
      </c>
      <c r="T89" s="40">
        <v>31</v>
      </c>
      <c r="U89" s="40">
        <v>20</v>
      </c>
      <c r="V89" s="40">
        <v>51</v>
      </c>
      <c r="W89" s="40">
        <v>36</v>
      </c>
      <c r="X89" s="40">
        <v>46</v>
      </c>
      <c r="Y89" s="40">
        <v>61</v>
      </c>
      <c r="Z89" s="40">
        <v>34</v>
      </c>
      <c r="AA89" s="40">
        <v>40</v>
      </c>
      <c r="AB89" s="40">
        <v>12</v>
      </c>
      <c r="AC89" s="40">
        <v>15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920</v>
      </c>
    </row>
    <row r="90" spans="1:35" x14ac:dyDescent="0.2">
      <c r="A90" s="46">
        <v>886</v>
      </c>
      <c r="B90" s="40">
        <v>38</v>
      </c>
      <c r="C90" s="40">
        <v>41</v>
      </c>
      <c r="D90" s="40">
        <v>32</v>
      </c>
      <c r="E90" s="40">
        <v>27</v>
      </c>
      <c r="F90" s="40">
        <v>21</v>
      </c>
      <c r="G90" s="40">
        <v>35</v>
      </c>
      <c r="H90" s="40">
        <v>22</v>
      </c>
      <c r="I90" s="40">
        <v>43</v>
      </c>
      <c r="J90" s="40">
        <v>34</v>
      </c>
      <c r="K90" s="40">
        <v>39</v>
      </c>
      <c r="L90" s="40">
        <v>51</v>
      </c>
      <c r="M90" s="40">
        <v>29</v>
      </c>
      <c r="N90" s="40">
        <v>40</v>
      </c>
      <c r="O90" s="40">
        <v>19</v>
      </c>
      <c r="P90" s="40">
        <v>22</v>
      </c>
      <c r="Q90" s="40">
        <v>23</v>
      </c>
      <c r="R90" s="40">
        <v>23</v>
      </c>
      <c r="S90" s="40">
        <v>15</v>
      </c>
      <c r="T90" s="40">
        <v>20</v>
      </c>
      <c r="U90" s="40">
        <v>14</v>
      </c>
      <c r="V90" s="40">
        <v>23</v>
      </c>
      <c r="W90" s="40">
        <v>27</v>
      </c>
      <c r="X90" s="40">
        <v>12</v>
      </c>
      <c r="Y90" s="40">
        <v>29</v>
      </c>
      <c r="Z90" s="40">
        <v>32</v>
      </c>
      <c r="AA90" s="40">
        <v>30</v>
      </c>
      <c r="AB90" s="40">
        <v>43</v>
      </c>
      <c r="AC90" s="40">
        <v>42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40">
        <v>826</v>
      </c>
    </row>
    <row r="91" spans="1:35" x14ac:dyDescent="0.2">
      <c r="A91" s="46">
        <v>893</v>
      </c>
      <c r="B91" s="40">
        <v>14</v>
      </c>
      <c r="C91" s="40">
        <v>36</v>
      </c>
      <c r="D91" s="40">
        <v>31</v>
      </c>
      <c r="E91" s="40">
        <v>30</v>
      </c>
      <c r="F91" s="40">
        <v>32</v>
      </c>
      <c r="G91" s="40">
        <v>37</v>
      </c>
      <c r="H91" s="40">
        <v>37</v>
      </c>
      <c r="I91" s="40">
        <v>37</v>
      </c>
      <c r="J91" s="40">
        <v>26</v>
      </c>
      <c r="K91" s="40">
        <v>39</v>
      </c>
      <c r="L91" s="40">
        <v>23</v>
      </c>
      <c r="M91" s="40">
        <v>24</v>
      </c>
      <c r="N91" s="40">
        <v>16</v>
      </c>
      <c r="O91" s="40">
        <v>25</v>
      </c>
      <c r="P91" s="40">
        <v>50</v>
      </c>
      <c r="Q91" s="40">
        <v>33</v>
      </c>
      <c r="R91" s="40">
        <v>25</v>
      </c>
      <c r="S91" s="40">
        <v>49</v>
      </c>
      <c r="T91" s="40">
        <v>14</v>
      </c>
      <c r="U91" s="40">
        <v>27</v>
      </c>
      <c r="V91" s="40">
        <v>26</v>
      </c>
      <c r="W91" s="40">
        <v>58</v>
      </c>
      <c r="X91" s="40">
        <v>44</v>
      </c>
      <c r="Y91" s="40">
        <v>30</v>
      </c>
      <c r="Z91" s="40">
        <v>30</v>
      </c>
      <c r="AA91" s="40">
        <v>21</v>
      </c>
      <c r="AB91" s="40">
        <v>24</v>
      </c>
      <c r="AC91" s="40">
        <v>38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40">
        <v>876</v>
      </c>
    </row>
    <row r="92" spans="1:35" x14ac:dyDescent="0.2">
      <c r="A92" s="46">
        <v>897</v>
      </c>
      <c r="B92" s="40">
        <v>17</v>
      </c>
      <c r="C92" s="40">
        <v>9</v>
      </c>
      <c r="D92" s="40">
        <v>21</v>
      </c>
      <c r="E92" s="40">
        <v>15</v>
      </c>
      <c r="F92" s="40">
        <v>45</v>
      </c>
      <c r="G92" s="40">
        <v>21</v>
      </c>
      <c r="H92" s="40">
        <v>24</v>
      </c>
      <c r="I92" s="40">
        <v>27</v>
      </c>
      <c r="J92" s="40">
        <v>18</v>
      </c>
      <c r="K92" s="40">
        <v>44</v>
      </c>
      <c r="L92" s="40">
        <v>37</v>
      </c>
      <c r="M92" s="40">
        <v>13</v>
      </c>
      <c r="N92" s="40">
        <v>35</v>
      </c>
      <c r="O92" s="40">
        <v>27</v>
      </c>
      <c r="P92" s="40">
        <v>25</v>
      </c>
      <c r="Q92" s="40">
        <v>46</v>
      </c>
      <c r="R92" s="40">
        <v>27</v>
      </c>
      <c r="S92" s="40">
        <v>22</v>
      </c>
      <c r="T92" s="40">
        <v>54</v>
      </c>
      <c r="U92" s="40">
        <v>29</v>
      </c>
      <c r="V92" s="40">
        <v>30</v>
      </c>
      <c r="W92" s="40">
        <v>36</v>
      </c>
      <c r="X92" s="40">
        <v>20</v>
      </c>
      <c r="Y92" s="40">
        <v>28</v>
      </c>
      <c r="Z92" s="40">
        <v>24</v>
      </c>
      <c r="AA92" s="40">
        <v>20</v>
      </c>
      <c r="AB92" s="40">
        <v>59</v>
      </c>
      <c r="AC92" s="40">
        <v>13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40">
        <v>786</v>
      </c>
    </row>
    <row r="93" spans="1:35" x14ac:dyDescent="0.2">
      <c r="A93" s="46">
        <v>905</v>
      </c>
      <c r="B93" s="40">
        <v>29</v>
      </c>
      <c r="C93" s="40">
        <v>21</v>
      </c>
      <c r="D93" s="40">
        <v>31</v>
      </c>
      <c r="E93" s="40">
        <v>34</v>
      </c>
      <c r="F93" s="40">
        <v>38</v>
      </c>
      <c r="G93" s="40">
        <v>28</v>
      </c>
      <c r="H93" s="40">
        <v>40</v>
      </c>
      <c r="I93" s="40">
        <v>42</v>
      </c>
      <c r="J93" s="40">
        <v>19</v>
      </c>
      <c r="K93" s="40">
        <v>32</v>
      </c>
      <c r="L93" s="40">
        <v>35</v>
      </c>
      <c r="M93" s="40">
        <v>38</v>
      </c>
      <c r="N93" s="40">
        <v>30</v>
      </c>
      <c r="O93" s="40">
        <v>28</v>
      </c>
      <c r="P93" s="40">
        <v>19</v>
      </c>
      <c r="Q93" s="40">
        <v>30</v>
      </c>
      <c r="R93" s="40">
        <v>45</v>
      </c>
      <c r="S93" s="40">
        <v>27</v>
      </c>
      <c r="T93" s="40">
        <v>6</v>
      </c>
      <c r="U93" s="40">
        <v>22</v>
      </c>
      <c r="V93" s="40">
        <v>19</v>
      </c>
      <c r="W93" s="40">
        <v>34</v>
      </c>
      <c r="X93" s="40">
        <v>38</v>
      </c>
      <c r="Y93" s="40">
        <v>36</v>
      </c>
      <c r="Z93" s="40">
        <v>32</v>
      </c>
      <c r="AA93" s="40">
        <v>31</v>
      </c>
      <c r="AB93" s="40">
        <v>39</v>
      </c>
      <c r="AC93" s="40">
        <v>23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846</v>
      </c>
    </row>
    <row r="94" spans="1:35" x14ac:dyDescent="0.2">
      <c r="A94" s="46">
        <v>906</v>
      </c>
      <c r="B94" s="40">
        <v>25</v>
      </c>
      <c r="C94" s="40">
        <v>15</v>
      </c>
      <c r="D94" s="40">
        <v>35</v>
      </c>
      <c r="E94" s="40">
        <v>19</v>
      </c>
      <c r="F94" s="40">
        <v>49</v>
      </c>
      <c r="G94" s="40">
        <v>33</v>
      </c>
      <c r="H94" s="40">
        <v>30</v>
      </c>
      <c r="I94" s="40">
        <v>36</v>
      </c>
      <c r="J94" s="40">
        <v>36</v>
      </c>
      <c r="K94" s="40">
        <v>26</v>
      </c>
      <c r="L94" s="40">
        <v>20</v>
      </c>
      <c r="M94" s="40">
        <v>33</v>
      </c>
      <c r="N94" s="40">
        <v>25</v>
      </c>
      <c r="O94" s="40">
        <v>32</v>
      </c>
      <c r="P94" s="40">
        <v>24</v>
      </c>
      <c r="Q94" s="40">
        <v>45</v>
      </c>
      <c r="R94" s="40">
        <v>46</v>
      </c>
      <c r="S94" s="40">
        <v>25</v>
      </c>
      <c r="T94" s="40">
        <v>32</v>
      </c>
      <c r="U94" s="40">
        <v>34</v>
      </c>
      <c r="V94" s="40">
        <v>42</v>
      </c>
      <c r="W94" s="40">
        <v>36</v>
      </c>
      <c r="X94" s="40">
        <v>51</v>
      </c>
      <c r="Y94" s="40">
        <v>44</v>
      </c>
      <c r="Z94" s="40">
        <v>12</v>
      </c>
      <c r="AA94" s="40">
        <v>29</v>
      </c>
      <c r="AB94" s="40">
        <v>29</v>
      </c>
      <c r="AC94" s="40">
        <v>8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40">
        <v>871</v>
      </c>
    </row>
    <row r="95" spans="1:35" x14ac:dyDescent="0.2">
      <c r="A95" s="46">
        <v>917</v>
      </c>
      <c r="B95" s="40">
        <v>60</v>
      </c>
      <c r="C95" s="40">
        <v>24</v>
      </c>
      <c r="D95" s="40">
        <v>42</v>
      </c>
      <c r="E95" s="40">
        <v>32</v>
      </c>
      <c r="F95" s="40">
        <v>39</v>
      </c>
      <c r="G95" s="40">
        <v>42</v>
      </c>
      <c r="H95" s="40">
        <v>21</v>
      </c>
      <c r="I95" s="40">
        <v>26</v>
      </c>
      <c r="J95" s="40">
        <v>12</v>
      </c>
      <c r="K95" s="40">
        <v>23</v>
      </c>
      <c r="L95" s="40">
        <v>34</v>
      </c>
      <c r="M95" s="40">
        <v>17</v>
      </c>
      <c r="N95" s="40">
        <v>39</v>
      </c>
      <c r="O95" s="40">
        <v>20</v>
      </c>
      <c r="P95" s="40">
        <v>53</v>
      </c>
      <c r="Q95" s="40">
        <v>39</v>
      </c>
      <c r="R95" s="40">
        <v>25</v>
      </c>
      <c r="S95" s="40">
        <v>25</v>
      </c>
      <c r="T95" s="40">
        <v>52</v>
      </c>
      <c r="U95" s="40">
        <v>15</v>
      </c>
      <c r="V95" s="40">
        <v>51</v>
      </c>
      <c r="W95" s="40">
        <v>18</v>
      </c>
      <c r="X95" s="40">
        <v>30</v>
      </c>
      <c r="Y95" s="40">
        <v>30</v>
      </c>
      <c r="Z95" s="40">
        <v>47</v>
      </c>
      <c r="AA95" s="40">
        <v>16</v>
      </c>
      <c r="AB95" s="40">
        <v>34</v>
      </c>
      <c r="AC95" s="40">
        <v>29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  <c r="AI95" s="40">
        <v>895</v>
      </c>
    </row>
    <row r="96" spans="1:35" x14ac:dyDescent="0.2">
      <c r="A96" s="46">
        <v>924</v>
      </c>
      <c r="B96" s="40">
        <v>37</v>
      </c>
      <c r="C96" s="40">
        <v>21</v>
      </c>
      <c r="D96" s="40">
        <v>25</v>
      </c>
      <c r="E96" s="40">
        <v>46</v>
      </c>
      <c r="F96" s="40">
        <v>31</v>
      </c>
      <c r="G96" s="40">
        <v>22</v>
      </c>
      <c r="H96" s="40">
        <v>40</v>
      </c>
      <c r="I96" s="40">
        <v>25</v>
      </c>
      <c r="J96" s="40">
        <v>38</v>
      </c>
      <c r="K96" s="40">
        <v>6</v>
      </c>
      <c r="L96" s="40">
        <v>26</v>
      </c>
      <c r="M96" s="40">
        <v>56</v>
      </c>
      <c r="N96" s="40">
        <v>25</v>
      </c>
      <c r="O96" s="40">
        <v>35</v>
      </c>
      <c r="P96" s="40">
        <v>43</v>
      </c>
      <c r="Q96" s="40">
        <v>39</v>
      </c>
      <c r="R96" s="40">
        <v>37</v>
      </c>
      <c r="S96" s="40">
        <v>25</v>
      </c>
      <c r="T96" s="40">
        <v>14</v>
      </c>
      <c r="U96" s="40">
        <v>32</v>
      </c>
      <c r="V96" s="40">
        <v>22</v>
      </c>
      <c r="W96" s="40">
        <v>42</v>
      </c>
      <c r="X96" s="40">
        <v>8</v>
      </c>
      <c r="Y96" s="40">
        <v>29</v>
      </c>
      <c r="Z96" s="40">
        <v>27</v>
      </c>
      <c r="AA96" s="40">
        <v>30</v>
      </c>
      <c r="AB96" s="40">
        <v>39</v>
      </c>
      <c r="AC96" s="40">
        <v>14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834</v>
      </c>
    </row>
    <row r="97" spans="1:35" x14ac:dyDescent="0.2">
      <c r="A97" s="46">
        <v>926</v>
      </c>
      <c r="B97" s="40">
        <v>26</v>
      </c>
      <c r="C97" s="40">
        <v>26</v>
      </c>
      <c r="D97" s="40">
        <v>52</v>
      </c>
      <c r="E97" s="40">
        <v>31</v>
      </c>
      <c r="F97" s="40">
        <v>24</v>
      </c>
      <c r="G97" s="40">
        <v>18</v>
      </c>
      <c r="H97" s="40">
        <v>38</v>
      </c>
      <c r="I97" s="40">
        <v>42</v>
      </c>
      <c r="J97" s="40">
        <v>15</v>
      </c>
      <c r="K97" s="40">
        <v>51</v>
      </c>
      <c r="L97" s="40">
        <v>43</v>
      </c>
      <c r="M97" s="40">
        <v>29</v>
      </c>
      <c r="N97" s="40">
        <v>31</v>
      </c>
      <c r="O97" s="40">
        <v>30</v>
      </c>
      <c r="P97" s="40">
        <v>29</v>
      </c>
      <c r="Q97" s="40">
        <v>37</v>
      </c>
      <c r="R97" s="40">
        <v>31</v>
      </c>
      <c r="S97" s="40">
        <v>9</v>
      </c>
      <c r="T97" s="40">
        <v>45</v>
      </c>
      <c r="U97" s="40">
        <v>50</v>
      </c>
      <c r="V97" s="40">
        <v>39</v>
      </c>
      <c r="W97" s="40">
        <v>42</v>
      </c>
      <c r="X97" s="40">
        <v>33</v>
      </c>
      <c r="Y97" s="40">
        <v>30</v>
      </c>
      <c r="Z97" s="40">
        <v>10</v>
      </c>
      <c r="AA97" s="40">
        <v>21</v>
      </c>
      <c r="AB97" s="40">
        <v>16</v>
      </c>
      <c r="AC97" s="40">
        <v>31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879</v>
      </c>
    </row>
    <row r="98" spans="1:35" x14ac:dyDescent="0.2">
      <c r="A98" s="46">
        <v>957</v>
      </c>
      <c r="B98" s="40">
        <v>402</v>
      </c>
      <c r="C98" s="40">
        <v>376</v>
      </c>
      <c r="D98" s="40">
        <v>393</v>
      </c>
      <c r="E98" s="40">
        <v>399</v>
      </c>
      <c r="F98" s="40">
        <v>370</v>
      </c>
      <c r="G98" s="40">
        <v>390</v>
      </c>
      <c r="H98" s="40">
        <v>399</v>
      </c>
      <c r="I98" s="40">
        <v>393</v>
      </c>
      <c r="J98" s="40">
        <v>423</v>
      </c>
      <c r="K98" s="40">
        <v>411</v>
      </c>
      <c r="L98" s="40">
        <v>412</v>
      </c>
      <c r="M98" s="40">
        <v>371</v>
      </c>
      <c r="N98" s="40">
        <v>398</v>
      </c>
      <c r="O98" s="40">
        <v>371</v>
      </c>
      <c r="P98" s="40">
        <v>420</v>
      </c>
      <c r="Q98" s="40">
        <v>372</v>
      </c>
      <c r="R98" s="40">
        <v>404</v>
      </c>
      <c r="S98" s="40">
        <v>406</v>
      </c>
      <c r="T98" s="40">
        <v>390</v>
      </c>
      <c r="U98" s="40">
        <v>402</v>
      </c>
      <c r="V98" s="40">
        <v>371</v>
      </c>
      <c r="W98" s="40">
        <v>413</v>
      </c>
      <c r="X98" s="40">
        <v>404</v>
      </c>
      <c r="Y98" s="40">
        <v>383</v>
      </c>
      <c r="Z98" s="40">
        <v>415</v>
      </c>
      <c r="AA98" s="40">
        <v>400</v>
      </c>
      <c r="AB98" s="40">
        <v>433</v>
      </c>
      <c r="AC98" s="40">
        <v>407</v>
      </c>
      <c r="AD98" s="40">
        <v>420</v>
      </c>
      <c r="AE98" s="40">
        <v>394</v>
      </c>
      <c r="AF98" s="40">
        <v>407</v>
      </c>
      <c r="AG98" s="40">
        <v>376</v>
      </c>
      <c r="AH98" s="40">
        <v>417</v>
      </c>
      <c r="AI98" s="40">
        <v>13142</v>
      </c>
    </row>
    <row r="99" spans="1:35" x14ac:dyDescent="0.2">
      <c r="A99" s="46">
        <v>977</v>
      </c>
      <c r="B99" s="40">
        <v>48</v>
      </c>
      <c r="C99" s="40">
        <v>32</v>
      </c>
      <c r="D99" s="40">
        <v>33</v>
      </c>
      <c r="E99" s="40">
        <v>24</v>
      </c>
      <c r="F99" s="40">
        <v>29</v>
      </c>
      <c r="G99" s="40">
        <v>26</v>
      </c>
      <c r="H99" s="40">
        <v>36</v>
      </c>
      <c r="I99" s="40">
        <v>61</v>
      </c>
      <c r="J99" s="40">
        <v>37</v>
      </c>
      <c r="K99" s="40">
        <v>20</v>
      </c>
      <c r="L99" s="40">
        <v>46</v>
      </c>
      <c r="M99" s="40">
        <v>22</v>
      </c>
      <c r="N99" s="40">
        <v>28</v>
      </c>
      <c r="O99" s="40">
        <v>40</v>
      </c>
      <c r="P99" s="40">
        <v>32</v>
      </c>
      <c r="Q99" s="40">
        <v>42</v>
      </c>
      <c r="R99" s="40">
        <v>18</v>
      </c>
      <c r="S99" s="40">
        <v>34</v>
      </c>
      <c r="T99" s="40">
        <v>29</v>
      </c>
      <c r="U99" s="40">
        <v>33</v>
      </c>
      <c r="V99" s="40">
        <v>60</v>
      </c>
      <c r="W99" s="40">
        <v>26</v>
      </c>
      <c r="X99" s="40">
        <v>40</v>
      </c>
      <c r="Y99" s="40">
        <v>28</v>
      </c>
      <c r="Z99" s="40">
        <v>31</v>
      </c>
      <c r="AA99" s="40">
        <v>24</v>
      </c>
      <c r="AB99" s="40">
        <v>35</v>
      </c>
      <c r="AC99" s="40">
        <v>51</v>
      </c>
      <c r="AD99" s="40">
        <v>0</v>
      </c>
      <c r="AE99" s="40">
        <v>0</v>
      </c>
      <c r="AF99" s="40">
        <v>0</v>
      </c>
      <c r="AG99" s="40">
        <v>0</v>
      </c>
      <c r="AH99" s="40">
        <v>0</v>
      </c>
      <c r="AI99" s="40">
        <v>965</v>
      </c>
    </row>
    <row r="100" spans="1:35" x14ac:dyDescent="0.2">
      <c r="A100" s="46">
        <v>981</v>
      </c>
      <c r="B100" s="40">
        <v>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21</v>
      </c>
      <c r="AD100" s="40">
        <v>19</v>
      </c>
      <c r="AE100" s="40">
        <v>36</v>
      </c>
      <c r="AF100" s="40">
        <v>46</v>
      </c>
      <c r="AG100" s="40">
        <v>37</v>
      </c>
      <c r="AH100" s="40">
        <v>13</v>
      </c>
      <c r="AI100" s="40">
        <v>172</v>
      </c>
    </row>
    <row r="101" spans="1:35" x14ac:dyDescent="0.2">
      <c r="A101" s="46">
        <v>982</v>
      </c>
      <c r="B101" s="40">
        <v>0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6</v>
      </c>
      <c r="AD101" s="40">
        <v>15</v>
      </c>
      <c r="AE101" s="40">
        <v>7</v>
      </c>
      <c r="AF101" s="40">
        <v>11</v>
      </c>
      <c r="AG101" s="40">
        <v>17</v>
      </c>
      <c r="AH101" s="40">
        <v>2</v>
      </c>
      <c r="AI101" s="40">
        <v>58</v>
      </c>
    </row>
    <row r="102" spans="1:35" x14ac:dyDescent="0.2">
      <c r="A102" s="46">
        <v>1004</v>
      </c>
      <c r="B102" s="40">
        <v>520</v>
      </c>
      <c r="C102" s="40">
        <v>426</v>
      </c>
      <c r="D102" s="40">
        <v>506</v>
      </c>
      <c r="E102" s="40">
        <v>504</v>
      </c>
      <c r="F102" s="40">
        <v>487</v>
      </c>
      <c r="G102" s="40">
        <v>512</v>
      </c>
      <c r="H102" s="40">
        <v>500</v>
      </c>
      <c r="I102" s="40">
        <v>485</v>
      </c>
      <c r="J102" s="40">
        <v>490</v>
      </c>
      <c r="K102" s="40">
        <v>499</v>
      </c>
      <c r="L102" s="40">
        <v>520</v>
      </c>
      <c r="M102" s="40">
        <v>541</v>
      </c>
      <c r="N102" s="40">
        <v>533</v>
      </c>
      <c r="O102" s="40">
        <v>497</v>
      </c>
      <c r="P102" s="40">
        <v>509</v>
      </c>
      <c r="Q102" s="40">
        <v>497</v>
      </c>
      <c r="R102" s="40">
        <v>473</v>
      </c>
      <c r="S102" s="40">
        <v>521</v>
      </c>
      <c r="T102" s="40">
        <v>502</v>
      </c>
      <c r="U102" s="40">
        <v>519</v>
      </c>
      <c r="V102" s="40">
        <v>486</v>
      </c>
      <c r="W102" s="40">
        <v>490</v>
      </c>
      <c r="X102" s="40">
        <v>528</v>
      </c>
      <c r="Y102" s="40">
        <v>504</v>
      </c>
      <c r="Z102" s="40">
        <v>482</v>
      </c>
      <c r="AA102" s="40">
        <v>463</v>
      </c>
      <c r="AB102" s="40">
        <v>496</v>
      </c>
      <c r="AC102" s="40">
        <v>490</v>
      </c>
      <c r="AD102" s="40">
        <v>511</v>
      </c>
      <c r="AE102" s="40">
        <v>502</v>
      </c>
      <c r="AF102" s="40">
        <v>519</v>
      </c>
      <c r="AG102" s="40">
        <v>528</v>
      </c>
      <c r="AH102" s="40">
        <v>540</v>
      </c>
      <c r="AI102" s="40">
        <v>16580</v>
      </c>
    </row>
    <row r="103" spans="1:35" x14ac:dyDescent="0.2">
      <c r="A103" s="46">
        <v>1014</v>
      </c>
      <c r="B103" s="40">
        <v>1788</v>
      </c>
      <c r="C103" s="40">
        <v>1520</v>
      </c>
      <c r="D103" s="40">
        <v>1835</v>
      </c>
      <c r="E103" s="40">
        <v>1693</v>
      </c>
      <c r="F103" s="40">
        <v>1596</v>
      </c>
      <c r="G103" s="40">
        <v>1653</v>
      </c>
      <c r="H103" s="40">
        <v>1749</v>
      </c>
      <c r="I103" s="40">
        <v>1487</v>
      </c>
      <c r="J103" s="40">
        <v>1750</v>
      </c>
      <c r="K103" s="40">
        <v>1729</v>
      </c>
      <c r="L103" s="40">
        <v>1705</v>
      </c>
      <c r="M103" s="40">
        <v>1782</v>
      </c>
      <c r="N103" s="40">
        <v>1769</v>
      </c>
      <c r="O103" s="40">
        <v>1702</v>
      </c>
      <c r="P103" s="40">
        <v>1615</v>
      </c>
      <c r="Q103" s="40">
        <v>1587</v>
      </c>
      <c r="R103" s="40">
        <v>1706</v>
      </c>
      <c r="S103" s="40">
        <v>1509</v>
      </c>
      <c r="T103" s="40">
        <v>1745</v>
      </c>
      <c r="U103" s="40">
        <v>1554</v>
      </c>
      <c r="V103" s="40">
        <v>1685</v>
      </c>
      <c r="W103" s="40">
        <v>1905</v>
      </c>
      <c r="X103" s="40">
        <v>1696</v>
      </c>
      <c r="Y103" s="40">
        <v>1815</v>
      </c>
      <c r="Z103" s="40">
        <v>1690</v>
      </c>
      <c r="AA103" s="40">
        <v>1690</v>
      </c>
      <c r="AB103" s="40">
        <v>1643</v>
      </c>
      <c r="AC103" s="40">
        <v>1739</v>
      </c>
      <c r="AD103" s="40">
        <v>1647</v>
      </c>
      <c r="AE103" s="40">
        <v>1498</v>
      </c>
      <c r="AF103" s="40">
        <v>1652</v>
      </c>
      <c r="AG103" s="40">
        <v>1629</v>
      </c>
      <c r="AH103" s="40">
        <v>1502</v>
      </c>
      <c r="AI103" s="40">
        <v>55265</v>
      </c>
    </row>
    <row r="104" spans="1:35" x14ac:dyDescent="0.2">
      <c r="A104" s="46">
        <v>1059</v>
      </c>
      <c r="B104" s="40">
        <v>0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0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40</v>
      </c>
      <c r="AI104" s="40">
        <v>40</v>
      </c>
    </row>
    <row r="105" spans="1:35" x14ac:dyDescent="0.2">
      <c r="A105" s="46">
        <v>1073</v>
      </c>
      <c r="B105" s="40">
        <v>453</v>
      </c>
      <c r="C105" s="40">
        <v>407</v>
      </c>
      <c r="D105" s="40">
        <v>449</v>
      </c>
      <c r="E105" s="40">
        <v>468</v>
      </c>
      <c r="F105" s="40">
        <v>472</v>
      </c>
      <c r="G105" s="40">
        <v>444</v>
      </c>
      <c r="H105" s="40">
        <v>458</v>
      </c>
      <c r="I105" s="40">
        <v>461</v>
      </c>
      <c r="J105" s="40">
        <v>410</v>
      </c>
      <c r="K105" s="40">
        <v>467</v>
      </c>
      <c r="L105" s="40">
        <v>443</v>
      </c>
      <c r="M105" s="40">
        <v>478</v>
      </c>
      <c r="N105" s="40">
        <v>438</v>
      </c>
      <c r="O105" s="40">
        <v>412</v>
      </c>
      <c r="P105" s="40">
        <v>434</v>
      </c>
      <c r="Q105" s="40">
        <v>415</v>
      </c>
      <c r="R105" s="40">
        <v>495</v>
      </c>
      <c r="S105" s="40">
        <v>393</v>
      </c>
      <c r="T105" s="40">
        <v>487</v>
      </c>
      <c r="U105" s="40">
        <v>449</v>
      </c>
      <c r="V105" s="40">
        <v>456</v>
      </c>
      <c r="W105" s="40">
        <v>475</v>
      </c>
      <c r="X105" s="40">
        <v>459</v>
      </c>
      <c r="Y105" s="40">
        <v>422</v>
      </c>
      <c r="Z105" s="40">
        <v>419</v>
      </c>
      <c r="AA105" s="40">
        <v>427</v>
      </c>
      <c r="AB105" s="40">
        <v>478</v>
      </c>
      <c r="AC105" s="40">
        <v>461</v>
      </c>
      <c r="AD105" s="40">
        <v>458</v>
      </c>
      <c r="AE105" s="40">
        <v>435</v>
      </c>
      <c r="AF105" s="40">
        <v>448</v>
      </c>
      <c r="AG105" s="40">
        <v>498</v>
      </c>
      <c r="AH105" s="40">
        <v>446</v>
      </c>
      <c r="AI105" s="40">
        <v>14815</v>
      </c>
    </row>
    <row r="106" spans="1:35" x14ac:dyDescent="0.2">
      <c r="A106" s="46" t="s">
        <v>234</v>
      </c>
      <c r="B106" s="40">
        <v>11350</v>
      </c>
      <c r="C106" s="40">
        <v>9912</v>
      </c>
      <c r="D106" s="40">
        <v>11526</v>
      </c>
      <c r="E106" s="40">
        <v>10790</v>
      </c>
      <c r="F106" s="40">
        <v>11314</v>
      </c>
      <c r="G106" s="40">
        <v>10750</v>
      </c>
      <c r="H106" s="40">
        <v>11405</v>
      </c>
      <c r="I106" s="40">
        <v>11089</v>
      </c>
      <c r="J106" s="40">
        <v>10890</v>
      </c>
      <c r="K106" s="40">
        <v>11181</v>
      </c>
      <c r="L106" s="40">
        <v>11011</v>
      </c>
      <c r="M106" s="40">
        <v>11277</v>
      </c>
      <c r="N106" s="40">
        <v>11184</v>
      </c>
      <c r="O106" s="40">
        <v>10283</v>
      </c>
      <c r="P106" s="40">
        <v>10925</v>
      </c>
      <c r="Q106" s="40">
        <v>10722</v>
      </c>
      <c r="R106" s="40">
        <v>11067</v>
      </c>
      <c r="S106" s="40">
        <v>10564</v>
      </c>
      <c r="T106" s="40">
        <v>10975</v>
      </c>
      <c r="U106" s="40">
        <v>11337</v>
      </c>
      <c r="V106" s="40">
        <v>10882</v>
      </c>
      <c r="W106" s="40">
        <v>11506</v>
      </c>
      <c r="X106" s="40">
        <v>10951</v>
      </c>
      <c r="Y106" s="40">
        <v>11271</v>
      </c>
      <c r="Z106" s="40">
        <v>11175</v>
      </c>
      <c r="AA106" s="40">
        <v>10574</v>
      </c>
      <c r="AB106" s="40">
        <v>11240</v>
      </c>
      <c r="AC106" s="40">
        <v>10716</v>
      </c>
      <c r="AD106" s="40">
        <v>10451</v>
      </c>
      <c r="AE106" s="40">
        <v>9733</v>
      </c>
      <c r="AF106" s="40">
        <v>10493</v>
      </c>
      <c r="AG106" s="40">
        <v>10685</v>
      </c>
      <c r="AH106" s="40">
        <v>9934</v>
      </c>
      <c r="AI106" s="40">
        <v>359163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D06C-1AC5-C740-B3EB-624957FCF821}">
  <dimension ref="A1:N104"/>
  <sheetViews>
    <sheetView workbookViewId="0">
      <pane ySplit="3" topLeftCell="A40" activePane="bottomLeft" state="frozen"/>
      <selection pane="bottomLeft"/>
    </sheetView>
  </sheetViews>
  <sheetFormatPr baseColWidth="10" defaultRowHeight="16" x14ac:dyDescent="0.2"/>
  <cols>
    <col min="1" max="1" width="11.85546875" style="10" bestFit="1" customWidth="1"/>
    <col min="2" max="2" width="15.7109375" style="10" bestFit="1" customWidth="1"/>
    <col min="3" max="3" width="20.140625" style="10" bestFit="1" customWidth="1"/>
    <col min="4" max="4" width="20.7109375" style="10" bestFit="1" customWidth="1"/>
    <col min="5" max="6" width="10.7109375" style="10"/>
    <col min="7" max="7" width="11.85546875" style="27" bestFit="1" customWidth="1"/>
    <col min="8" max="8" width="7" style="10" bestFit="1" customWidth="1"/>
    <col min="9" max="9" width="14.85546875" style="10" bestFit="1" customWidth="1"/>
    <col min="10" max="10" width="18.140625" style="10" bestFit="1" customWidth="1"/>
    <col min="11" max="12" width="10.7109375" style="10"/>
    <col min="13" max="13" width="13.140625" style="10" customWidth="1"/>
    <col min="14" max="16384" width="10.7109375" style="10"/>
  </cols>
  <sheetData>
    <row r="1" spans="1:14" s="31" customFormat="1" ht="15" x14ac:dyDescent="0.2">
      <c r="A1" s="31" t="s">
        <v>367</v>
      </c>
      <c r="G1" s="69"/>
    </row>
    <row r="3" spans="1:14" s="53" customFormat="1" ht="19" x14ac:dyDescent="0.25">
      <c r="A3" s="67" t="s">
        <v>361</v>
      </c>
      <c r="B3" s="66" t="s">
        <v>362</v>
      </c>
      <c r="C3" s="66" t="s">
        <v>363</v>
      </c>
      <c r="D3" s="66" t="s">
        <v>364</v>
      </c>
      <c r="G3" s="67" t="s">
        <v>361</v>
      </c>
      <c r="H3" s="66" t="s">
        <v>238</v>
      </c>
      <c r="I3" s="66" t="s">
        <v>365</v>
      </c>
      <c r="J3" s="66" t="s">
        <v>366</v>
      </c>
      <c r="L3" s="54"/>
    </row>
    <row r="4" spans="1:14" ht="19" x14ac:dyDescent="0.25">
      <c r="A4" s="68">
        <v>1004</v>
      </c>
      <c r="B4">
        <v>6631668.5823810482</v>
      </c>
      <c r="C4">
        <v>6631668.5823810482</v>
      </c>
      <c r="D4">
        <v>0.20225747440020944</v>
      </c>
      <c r="G4" s="68">
        <v>365</v>
      </c>
      <c r="H4">
        <v>70455</v>
      </c>
      <c r="I4">
        <v>70455</v>
      </c>
      <c r="J4">
        <v>0.1961644155996024</v>
      </c>
      <c r="K4" s="27"/>
      <c r="L4" s="29"/>
      <c r="M4" s="27"/>
      <c r="N4" s="27"/>
    </row>
    <row r="5" spans="1:14" ht="19" x14ac:dyDescent="0.25">
      <c r="A5" s="68">
        <v>365</v>
      </c>
      <c r="B5">
        <v>4226595.5680890204</v>
      </c>
      <c r="C5">
        <v>10858264.150470069</v>
      </c>
      <c r="D5">
        <v>0.33116327454589056</v>
      </c>
      <c r="G5" s="68">
        <v>502</v>
      </c>
      <c r="H5">
        <v>60154</v>
      </c>
      <c r="I5">
        <v>130609</v>
      </c>
      <c r="J5">
        <v>0.36364825998223649</v>
      </c>
    </row>
    <row r="6" spans="1:14" ht="19" x14ac:dyDescent="0.25">
      <c r="A6" s="68">
        <v>957</v>
      </c>
      <c r="B6">
        <v>3942337.3045611167</v>
      </c>
      <c r="C6">
        <v>14800601.455031186</v>
      </c>
      <c r="D6">
        <v>0.45139955845378943</v>
      </c>
      <c r="G6" s="68">
        <v>1014</v>
      </c>
      <c r="H6">
        <v>55265</v>
      </c>
      <c r="I6">
        <v>185874</v>
      </c>
      <c r="J6">
        <v>0.51751990043517848</v>
      </c>
    </row>
    <row r="7" spans="1:14" ht="19" x14ac:dyDescent="0.25">
      <c r="A7" s="68">
        <v>191</v>
      </c>
      <c r="B7">
        <v>3501149.8467176049</v>
      </c>
      <c r="C7">
        <v>18301751.30174879</v>
      </c>
      <c r="D7">
        <v>0.55818018488242993</v>
      </c>
      <c r="G7" s="68">
        <v>191</v>
      </c>
      <c r="H7">
        <v>35015</v>
      </c>
      <c r="I7">
        <v>220889</v>
      </c>
      <c r="J7">
        <v>0.61501045486311234</v>
      </c>
    </row>
    <row r="8" spans="1:14" ht="19" x14ac:dyDescent="0.25">
      <c r="A8" s="68">
        <v>502</v>
      </c>
      <c r="B8">
        <v>3007700</v>
      </c>
      <c r="C8">
        <v>21309451.30174879</v>
      </c>
      <c r="D8">
        <v>0.64991121730611212</v>
      </c>
      <c r="G8" s="68">
        <v>627</v>
      </c>
      <c r="H8">
        <v>30355</v>
      </c>
      <c r="I8">
        <v>251244</v>
      </c>
      <c r="J8">
        <v>0.69952639887738988</v>
      </c>
    </row>
    <row r="9" spans="1:14" ht="19" x14ac:dyDescent="0.25">
      <c r="A9" s="68">
        <v>1073</v>
      </c>
      <c r="B9">
        <v>2962851.9314827612</v>
      </c>
      <c r="C9">
        <v>24272303.233231552</v>
      </c>
      <c r="D9">
        <v>0.74027444056422109</v>
      </c>
      <c r="G9" s="68">
        <v>403</v>
      </c>
      <c r="H9">
        <v>21233</v>
      </c>
      <c r="I9">
        <v>272477</v>
      </c>
      <c r="J9">
        <v>0.75864440379437748</v>
      </c>
    </row>
    <row r="10" spans="1:14" ht="19" x14ac:dyDescent="0.25">
      <c r="A10" s="68">
        <v>1014</v>
      </c>
      <c r="B10">
        <v>2762144.6747190719</v>
      </c>
      <c r="C10">
        <v>27034447.907950625</v>
      </c>
      <c r="D10">
        <v>0.82451634724226619</v>
      </c>
      <c r="G10" s="68">
        <v>1004</v>
      </c>
      <c r="H10">
        <v>16580</v>
      </c>
      <c r="I10">
        <v>289057</v>
      </c>
      <c r="J10">
        <v>0.8048072880558409</v>
      </c>
    </row>
    <row r="11" spans="1:14" ht="19" x14ac:dyDescent="0.25">
      <c r="A11" s="68">
        <v>403</v>
      </c>
      <c r="B11">
        <v>2760077.7867816691</v>
      </c>
      <c r="C11">
        <v>29794525.694732293</v>
      </c>
      <c r="D11">
        <v>0.90869521646165441</v>
      </c>
      <c r="G11" s="68">
        <v>1073</v>
      </c>
      <c r="H11">
        <v>14815</v>
      </c>
      <c r="I11">
        <v>303872</v>
      </c>
      <c r="J11">
        <v>0.84605596901685309</v>
      </c>
    </row>
    <row r="12" spans="1:14" ht="19" x14ac:dyDescent="0.25">
      <c r="A12" s="68">
        <v>627</v>
      </c>
      <c r="B12">
        <v>1213896.470111009</v>
      </c>
      <c r="C12">
        <v>31008422.164843302</v>
      </c>
      <c r="D12">
        <v>0.9457175180405174</v>
      </c>
      <c r="G12" s="68">
        <v>957</v>
      </c>
      <c r="H12">
        <v>13142</v>
      </c>
      <c r="I12">
        <v>317014</v>
      </c>
      <c r="J12">
        <v>0.88264659778429289</v>
      </c>
    </row>
    <row r="13" spans="1:14" ht="19" x14ac:dyDescent="0.25">
      <c r="A13" s="68">
        <v>565</v>
      </c>
      <c r="B13">
        <v>63490</v>
      </c>
      <c r="C13">
        <v>31071912.164843302</v>
      </c>
      <c r="D13">
        <v>0.94765388245471416</v>
      </c>
      <c r="G13" s="68">
        <v>977</v>
      </c>
      <c r="H13">
        <v>965</v>
      </c>
      <c r="I13">
        <v>317979</v>
      </c>
      <c r="J13">
        <v>0.88533340015536122</v>
      </c>
    </row>
    <row r="14" spans="1:14" ht="19" x14ac:dyDescent="0.25">
      <c r="A14" s="68">
        <v>728</v>
      </c>
      <c r="B14">
        <v>58695</v>
      </c>
      <c r="C14">
        <v>31130607.164843302</v>
      </c>
      <c r="D14">
        <v>0.94944400545504926</v>
      </c>
      <c r="G14" s="68">
        <v>116</v>
      </c>
      <c r="H14">
        <v>954</v>
      </c>
      <c r="I14">
        <v>318933</v>
      </c>
      <c r="J14">
        <v>0.88798957576365045</v>
      </c>
    </row>
    <row r="15" spans="1:14" ht="19" x14ac:dyDescent="0.25">
      <c r="A15" s="68">
        <v>44</v>
      </c>
      <c r="B15">
        <v>54710.881591880068</v>
      </c>
      <c r="C15">
        <v>31185318.046435181</v>
      </c>
      <c r="D15">
        <v>0.95111261790084933</v>
      </c>
      <c r="G15" s="68">
        <v>885</v>
      </c>
      <c r="H15">
        <v>920</v>
      </c>
      <c r="I15">
        <v>319853</v>
      </c>
      <c r="J15">
        <v>0.890551086832441</v>
      </c>
    </row>
    <row r="16" spans="1:14" ht="19" x14ac:dyDescent="0.25">
      <c r="A16" s="68">
        <v>823</v>
      </c>
      <c r="B16">
        <v>45543.241424499996</v>
      </c>
      <c r="C16">
        <v>31230861.287859682</v>
      </c>
      <c r="D16">
        <v>0.95250162895773349</v>
      </c>
      <c r="G16" s="68">
        <v>44</v>
      </c>
      <c r="H16">
        <v>912</v>
      </c>
      <c r="I16">
        <v>320765</v>
      </c>
      <c r="J16">
        <v>0.89309032389193765</v>
      </c>
    </row>
    <row r="17" spans="1:10" ht="19" x14ac:dyDescent="0.25">
      <c r="A17" s="68">
        <v>249</v>
      </c>
      <c r="B17">
        <v>44195.880981879956</v>
      </c>
      <c r="C17">
        <v>31275057.168841563</v>
      </c>
      <c r="D17">
        <v>0.95384954723127879</v>
      </c>
      <c r="G17" s="68">
        <v>565</v>
      </c>
      <c r="H17">
        <v>907</v>
      </c>
      <c r="I17">
        <v>321672</v>
      </c>
      <c r="J17">
        <v>0.89561563969562563</v>
      </c>
    </row>
    <row r="18" spans="1:10" ht="19" x14ac:dyDescent="0.25">
      <c r="A18" s="68">
        <v>116</v>
      </c>
      <c r="B18">
        <v>42920.460585239998</v>
      </c>
      <c r="C18">
        <v>31317977.629426803</v>
      </c>
      <c r="D18">
        <v>0.9551585668015764</v>
      </c>
      <c r="G18" s="68">
        <v>728</v>
      </c>
      <c r="H18">
        <v>903</v>
      </c>
      <c r="I18">
        <v>322575</v>
      </c>
      <c r="J18">
        <v>0.89812981849466678</v>
      </c>
    </row>
    <row r="19" spans="1:10" ht="19" x14ac:dyDescent="0.25">
      <c r="A19" s="68">
        <v>821</v>
      </c>
      <c r="B19">
        <v>42631.801338259989</v>
      </c>
      <c r="C19">
        <v>31360609.430765063</v>
      </c>
      <c r="D19">
        <v>0.95645878263122686</v>
      </c>
      <c r="G19" s="68">
        <v>804</v>
      </c>
      <c r="H19">
        <v>900</v>
      </c>
      <c r="I19">
        <v>323475</v>
      </c>
      <c r="J19">
        <v>0.90063564454022271</v>
      </c>
    </row>
    <row r="20" spans="1:10" ht="19" x14ac:dyDescent="0.25">
      <c r="A20" s="68">
        <v>818</v>
      </c>
      <c r="B20">
        <v>40743.510516419978</v>
      </c>
      <c r="C20">
        <v>31401352.941281483</v>
      </c>
      <c r="D20">
        <v>0.95770140798755776</v>
      </c>
      <c r="G20" s="68">
        <v>917</v>
      </c>
      <c r="H20">
        <v>895</v>
      </c>
      <c r="I20">
        <v>324370</v>
      </c>
      <c r="J20">
        <v>0.90312754932996997</v>
      </c>
    </row>
    <row r="21" spans="1:10" ht="19" x14ac:dyDescent="0.25">
      <c r="A21" s="68">
        <v>822</v>
      </c>
      <c r="B21">
        <v>37288.230522059959</v>
      </c>
      <c r="C21">
        <v>31438641.171803541</v>
      </c>
      <c r="D21">
        <v>0.9588386516897357</v>
      </c>
      <c r="G21" s="68">
        <v>642</v>
      </c>
      <c r="H21">
        <v>890</v>
      </c>
      <c r="I21">
        <v>325260</v>
      </c>
      <c r="J21">
        <v>0.90560553286390855</v>
      </c>
    </row>
    <row r="22" spans="1:10" ht="19" x14ac:dyDescent="0.25">
      <c r="A22" s="68">
        <v>278</v>
      </c>
      <c r="B22">
        <v>34867.250537699925</v>
      </c>
      <c r="C22">
        <v>31473508.422341242</v>
      </c>
      <c r="D22">
        <v>0.95990205857526234</v>
      </c>
      <c r="G22" s="68">
        <v>835</v>
      </c>
      <c r="H22">
        <v>887</v>
      </c>
      <c r="I22">
        <v>326147</v>
      </c>
      <c r="J22">
        <v>0.90807516364436203</v>
      </c>
    </row>
    <row r="23" spans="1:10" ht="19" x14ac:dyDescent="0.25">
      <c r="A23" s="68">
        <v>572</v>
      </c>
      <c r="B23">
        <v>33551.610618239894</v>
      </c>
      <c r="C23">
        <v>31507060.032959484</v>
      </c>
      <c r="D23">
        <v>0.96092534011314468</v>
      </c>
      <c r="G23" s="68">
        <v>926</v>
      </c>
      <c r="H23">
        <v>879</v>
      </c>
      <c r="I23">
        <v>327026</v>
      </c>
      <c r="J23">
        <v>0.91052252041552162</v>
      </c>
    </row>
    <row r="24" spans="1:10" ht="19" x14ac:dyDescent="0.25">
      <c r="A24" s="68">
        <v>771</v>
      </c>
      <c r="B24">
        <v>33071.730452779921</v>
      </c>
      <c r="C24">
        <v>31540131.763412263</v>
      </c>
      <c r="D24">
        <v>0.96193398591507684</v>
      </c>
      <c r="G24" s="68">
        <v>823</v>
      </c>
      <c r="H24">
        <v>876</v>
      </c>
      <c r="I24">
        <v>327902</v>
      </c>
      <c r="J24">
        <v>0.91296152443319611</v>
      </c>
    </row>
    <row r="25" spans="1:10" ht="19" x14ac:dyDescent="0.25">
      <c r="A25" s="68">
        <v>977</v>
      </c>
      <c r="B25">
        <v>28940.34974591</v>
      </c>
      <c r="C25">
        <v>31569072.113158174</v>
      </c>
      <c r="D25">
        <v>0.96281662984927729</v>
      </c>
      <c r="G25" s="68">
        <v>893</v>
      </c>
      <c r="H25">
        <v>876</v>
      </c>
      <c r="I25">
        <v>328778</v>
      </c>
      <c r="J25">
        <v>0.9154005284508705</v>
      </c>
    </row>
    <row r="26" spans="1:10" ht="19" x14ac:dyDescent="0.25">
      <c r="A26" s="68">
        <v>235</v>
      </c>
      <c r="B26">
        <v>28481.860603219931</v>
      </c>
      <c r="C26">
        <v>31597553.973761395</v>
      </c>
      <c r="D26">
        <v>0.96368529044657114</v>
      </c>
      <c r="G26" s="68">
        <v>828</v>
      </c>
      <c r="H26">
        <v>876</v>
      </c>
      <c r="I26">
        <v>329654</v>
      </c>
      <c r="J26">
        <v>0.91783953246854488</v>
      </c>
    </row>
    <row r="27" spans="1:10" ht="19" x14ac:dyDescent="0.25">
      <c r="A27" s="68">
        <v>835</v>
      </c>
      <c r="B27">
        <v>28375.129797059992</v>
      </c>
      <c r="C27">
        <v>31625929.103558455</v>
      </c>
      <c r="D27">
        <v>0.96455069588974718</v>
      </c>
      <c r="G27" s="68">
        <v>906</v>
      </c>
      <c r="H27">
        <v>871</v>
      </c>
      <c r="I27">
        <v>330525</v>
      </c>
      <c r="J27">
        <v>0.9202646152304107</v>
      </c>
    </row>
    <row r="28" spans="1:10" ht="19" x14ac:dyDescent="0.25">
      <c r="A28" s="68">
        <v>828</v>
      </c>
      <c r="B28">
        <v>28023.239834149994</v>
      </c>
      <c r="C28">
        <v>31653952.343392603</v>
      </c>
      <c r="D28">
        <v>0.96540536913569686</v>
      </c>
      <c r="G28" s="68">
        <v>276</v>
      </c>
      <c r="H28">
        <v>869</v>
      </c>
      <c r="I28">
        <v>331394</v>
      </c>
      <c r="J28">
        <v>0.92268412948995304</v>
      </c>
    </row>
    <row r="29" spans="1:10" ht="19" x14ac:dyDescent="0.25">
      <c r="A29" s="68">
        <v>276</v>
      </c>
      <c r="B29">
        <v>27799.309791789998</v>
      </c>
      <c r="C29">
        <v>31681751.653184392</v>
      </c>
      <c r="D29">
        <v>0.96625321279958165</v>
      </c>
      <c r="G29" s="68">
        <v>703</v>
      </c>
      <c r="H29">
        <v>865</v>
      </c>
      <c r="I29">
        <v>332259</v>
      </c>
      <c r="J29">
        <v>0.92509250674484844</v>
      </c>
    </row>
    <row r="30" spans="1:10" ht="19" x14ac:dyDescent="0.25">
      <c r="A30" s="68">
        <v>642</v>
      </c>
      <c r="B30">
        <v>26700</v>
      </c>
      <c r="C30">
        <v>31708451.653184392</v>
      </c>
      <c r="D30">
        <v>0.96706752891013537</v>
      </c>
      <c r="G30" s="68">
        <v>172</v>
      </c>
      <c r="H30">
        <v>858</v>
      </c>
      <c r="I30">
        <v>333117</v>
      </c>
      <c r="J30">
        <v>0.9274813942416118</v>
      </c>
    </row>
    <row r="31" spans="1:10" ht="19" x14ac:dyDescent="0.25">
      <c r="A31" s="68">
        <v>282</v>
      </c>
      <c r="B31">
        <v>26007.869806139981</v>
      </c>
      <c r="C31">
        <v>31734459.522990532</v>
      </c>
      <c r="D31">
        <v>0.96786073592827482</v>
      </c>
      <c r="G31" s="68">
        <v>797</v>
      </c>
      <c r="H31">
        <v>855</v>
      </c>
      <c r="I31">
        <v>333972</v>
      </c>
      <c r="J31">
        <v>0.92986192898488984</v>
      </c>
    </row>
    <row r="32" spans="1:10" ht="19" x14ac:dyDescent="0.25">
      <c r="A32" s="68">
        <v>37</v>
      </c>
      <c r="B32">
        <v>25892.600521179953</v>
      </c>
      <c r="C32">
        <v>31760352.123511713</v>
      </c>
      <c r="D32">
        <v>0.96865042737953055</v>
      </c>
      <c r="G32" s="68">
        <v>818</v>
      </c>
      <c r="H32">
        <v>849</v>
      </c>
      <c r="I32">
        <v>334821</v>
      </c>
      <c r="J32">
        <v>0.93222575822119758</v>
      </c>
    </row>
    <row r="33" spans="1:10" ht="19" x14ac:dyDescent="0.25">
      <c r="A33" s="68">
        <v>172</v>
      </c>
      <c r="B33">
        <v>25740</v>
      </c>
      <c r="C33">
        <v>31786092.123511713</v>
      </c>
      <c r="D33">
        <v>0.96943546470858122</v>
      </c>
      <c r="G33" s="68">
        <v>564</v>
      </c>
      <c r="H33">
        <v>849</v>
      </c>
      <c r="I33">
        <v>335670</v>
      </c>
      <c r="J33">
        <v>0.93458958745750542</v>
      </c>
    </row>
    <row r="34" spans="1:10" ht="19" x14ac:dyDescent="0.25">
      <c r="A34" s="68">
        <v>564</v>
      </c>
      <c r="B34">
        <v>25470</v>
      </c>
      <c r="C34">
        <v>31811562.123511713</v>
      </c>
      <c r="D34">
        <v>0.97021226738033406</v>
      </c>
      <c r="G34" s="68">
        <v>135</v>
      </c>
      <c r="H34">
        <v>848</v>
      </c>
      <c r="I34">
        <v>336518</v>
      </c>
      <c r="J34">
        <v>0.93695063244265142</v>
      </c>
    </row>
    <row r="35" spans="1:10" ht="19" x14ac:dyDescent="0.25">
      <c r="A35" s="68">
        <v>825</v>
      </c>
      <c r="B35">
        <v>24312.399774079993</v>
      </c>
      <c r="C35">
        <v>31835874.523285791</v>
      </c>
      <c r="D35">
        <v>0.9709537647145009</v>
      </c>
      <c r="G35" s="68">
        <v>905</v>
      </c>
      <c r="H35">
        <v>846</v>
      </c>
      <c r="I35">
        <v>337364</v>
      </c>
      <c r="J35">
        <v>0.93930610892547395</v>
      </c>
    </row>
    <row r="36" spans="1:10" ht="19" x14ac:dyDescent="0.25">
      <c r="A36" s="68">
        <v>885</v>
      </c>
      <c r="B36">
        <v>22990.799783970018</v>
      </c>
      <c r="C36">
        <v>31858865.323069762</v>
      </c>
      <c r="D36">
        <v>0.9716549549264335</v>
      </c>
      <c r="G36" s="68">
        <v>775</v>
      </c>
      <c r="H36">
        <v>845</v>
      </c>
      <c r="I36">
        <v>338209</v>
      </c>
      <c r="J36">
        <v>0.94165880115713474</v>
      </c>
    </row>
    <row r="37" spans="1:10" ht="19" x14ac:dyDescent="0.25">
      <c r="A37" s="68">
        <v>724</v>
      </c>
      <c r="B37">
        <v>22000</v>
      </c>
      <c r="C37">
        <v>31880865.323069762</v>
      </c>
      <c r="D37">
        <v>0.97232592700254517</v>
      </c>
      <c r="G37" s="68">
        <v>572</v>
      </c>
      <c r="H37">
        <v>839</v>
      </c>
      <c r="I37">
        <v>339048</v>
      </c>
      <c r="J37">
        <v>0.94399478788182523</v>
      </c>
    </row>
    <row r="38" spans="1:10" ht="19" x14ac:dyDescent="0.25">
      <c r="A38" s="68">
        <v>893</v>
      </c>
      <c r="B38">
        <v>21891.239840570022</v>
      </c>
      <c r="C38">
        <v>31902756.562910333</v>
      </c>
      <c r="D38">
        <v>0.97299358203183994</v>
      </c>
      <c r="G38" s="68">
        <v>793</v>
      </c>
      <c r="H38">
        <v>836</v>
      </c>
      <c r="I38">
        <v>339884</v>
      </c>
      <c r="J38">
        <v>0.9463224218530305</v>
      </c>
    </row>
    <row r="39" spans="1:10" ht="19" x14ac:dyDescent="0.25">
      <c r="A39" s="68">
        <v>906</v>
      </c>
      <c r="B39">
        <v>21766.289762850021</v>
      </c>
      <c r="C39">
        <v>31924522.852673184</v>
      </c>
      <c r="D39">
        <v>0.9736574262423594</v>
      </c>
      <c r="G39" s="68">
        <v>924</v>
      </c>
      <c r="H39">
        <v>834</v>
      </c>
      <c r="I39">
        <v>340718</v>
      </c>
      <c r="J39">
        <v>0.94864448732191231</v>
      </c>
    </row>
    <row r="40" spans="1:10" ht="19" x14ac:dyDescent="0.25">
      <c r="A40" s="68">
        <v>273</v>
      </c>
      <c r="B40">
        <v>21244.409799619985</v>
      </c>
      <c r="C40">
        <v>31945767.262472805</v>
      </c>
      <c r="D40">
        <v>0.9743053537764057</v>
      </c>
      <c r="G40" s="68">
        <v>771</v>
      </c>
      <c r="H40">
        <v>827</v>
      </c>
      <c r="I40">
        <v>341545</v>
      </c>
      <c r="J40">
        <v>0.95094706303266208</v>
      </c>
    </row>
    <row r="41" spans="1:10" ht="19" x14ac:dyDescent="0.25">
      <c r="A41" s="68">
        <v>905</v>
      </c>
      <c r="B41">
        <v>21141.539847590044</v>
      </c>
      <c r="C41">
        <v>31966908.802320395</v>
      </c>
      <c r="D41">
        <v>0.97495014390748458</v>
      </c>
      <c r="G41" s="68">
        <v>886</v>
      </c>
      <c r="H41">
        <v>826</v>
      </c>
      <c r="I41">
        <v>342371</v>
      </c>
      <c r="J41">
        <v>0.95324685449225</v>
      </c>
    </row>
    <row r="42" spans="1:10" ht="19" x14ac:dyDescent="0.25">
      <c r="A42" s="68">
        <v>646</v>
      </c>
      <c r="B42">
        <v>20697.929992219993</v>
      </c>
      <c r="C42">
        <v>31987606.732312616</v>
      </c>
      <c r="D42">
        <v>0.97558140450103426</v>
      </c>
      <c r="G42" s="68">
        <v>792</v>
      </c>
      <c r="H42">
        <v>826</v>
      </c>
      <c r="I42">
        <v>343197</v>
      </c>
      <c r="J42">
        <v>0.95554664595183803</v>
      </c>
    </row>
    <row r="43" spans="1:10" ht="19" x14ac:dyDescent="0.25">
      <c r="A43" s="68">
        <v>886</v>
      </c>
      <c r="B43">
        <v>20641.739813590044</v>
      </c>
      <c r="C43">
        <v>32008248.472126205</v>
      </c>
      <c r="D43">
        <v>0.9762109513654561</v>
      </c>
      <c r="G43" s="68">
        <v>821</v>
      </c>
      <c r="H43">
        <v>820</v>
      </c>
      <c r="I43">
        <v>344017</v>
      </c>
      <c r="J43">
        <v>0.95782973190445564</v>
      </c>
    </row>
    <row r="44" spans="1:10" ht="19" x14ac:dyDescent="0.25">
      <c r="A44" s="68">
        <v>567</v>
      </c>
      <c r="B44">
        <v>20475</v>
      </c>
      <c r="C44">
        <v>32028723.472126205</v>
      </c>
      <c r="D44">
        <v>0.97683541287720099</v>
      </c>
      <c r="G44" s="68">
        <v>567</v>
      </c>
      <c r="H44">
        <v>819</v>
      </c>
      <c r="I44">
        <v>344836</v>
      </c>
      <c r="J44">
        <v>0.96011003360591152</v>
      </c>
    </row>
    <row r="45" spans="1:10" ht="19" x14ac:dyDescent="0.25">
      <c r="A45" s="68">
        <v>778</v>
      </c>
      <c r="B45">
        <v>20166.929792970019</v>
      </c>
      <c r="C45">
        <v>32048890.401919175</v>
      </c>
      <c r="D45">
        <v>0.97745047863865486</v>
      </c>
      <c r="G45" s="68">
        <v>235</v>
      </c>
      <c r="H45">
        <v>814</v>
      </c>
      <c r="I45">
        <v>345650</v>
      </c>
      <c r="J45">
        <v>0.96237641405155872</v>
      </c>
    </row>
    <row r="46" spans="1:10" ht="19" x14ac:dyDescent="0.25">
      <c r="A46" s="68">
        <v>93</v>
      </c>
      <c r="B46">
        <v>19917.029814530026</v>
      </c>
      <c r="C46">
        <v>32068807.431733705</v>
      </c>
      <c r="D46">
        <v>0.97805792276795644</v>
      </c>
      <c r="G46" s="68">
        <v>282</v>
      </c>
      <c r="H46">
        <v>813</v>
      </c>
      <c r="I46">
        <v>346463</v>
      </c>
      <c r="J46">
        <v>0.96464001024604429</v>
      </c>
    </row>
    <row r="47" spans="1:10" ht="19" x14ac:dyDescent="0.25">
      <c r="A47" s="68">
        <v>359</v>
      </c>
      <c r="B47">
        <v>19898.009956279995</v>
      </c>
      <c r="C47">
        <v>32088705.441689987</v>
      </c>
      <c r="D47">
        <v>0.97866478681572255</v>
      </c>
      <c r="G47" s="68">
        <v>778</v>
      </c>
      <c r="H47">
        <v>807</v>
      </c>
      <c r="I47">
        <v>347270</v>
      </c>
      <c r="J47">
        <v>0.96688690093355945</v>
      </c>
    </row>
    <row r="48" spans="1:10" ht="19" x14ac:dyDescent="0.25">
      <c r="A48" s="68">
        <v>917</v>
      </c>
      <c r="B48">
        <v>19681.04975319004</v>
      </c>
      <c r="C48">
        <v>32108386.491443176</v>
      </c>
      <c r="D48">
        <v>0.97926503385267505</v>
      </c>
      <c r="G48" s="68">
        <v>249</v>
      </c>
      <c r="H48">
        <v>804</v>
      </c>
      <c r="I48">
        <v>348074</v>
      </c>
      <c r="J48">
        <v>0.96912543886758939</v>
      </c>
    </row>
    <row r="49" spans="1:10" ht="19" x14ac:dyDescent="0.25">
      <c r="A49" s="68">
        <v>897</v>
      </c>
      <c r="B49">
        <v>19642.139830469998</v>
      </c>
      <c r="C49">
        <v>32128028.631273646</v>
      </c>
      <c r="D49">
        <v>0.97986409418637166</v>
      </c>
      <c r="G49" s="68">
        <v>93</v>
      </c>
      <c r="H49">
        <v>797</v>
      </c>
      <c r="I49">
        <v>348871</v>
      </c>
      <c r="J49">
        <v>0.97134448704348719</v>
      </c>
    </row>
    <row r="50" spans="1:10" ht="19" x14ac:dyDescent="0.25">
      <c r="A50" s="68">
        <v>134</v>
      </c>
      <c r="B50">
        <v>19200</v>
      </c>
      <c r="C50">
        <v>32147228.631273646</v>
      </c>
      <c r="D50">
        <v>0.98044966981643278</v>
      </c>
      <c r="G50" s="68">
        <v>897</v>
      </c>
      <c r="H50">
        <v>786</v>
      </c>
      <c r="I50">
        <v>349657</v>
      </c>
      <c r="J50">
        <v>0.97353290845660601</v>
      </c>
    </row>
    <row r="51" spans="1:10" ht="19" x14ac:dyDescent="0.25">
      <c r="A51" s="68">
        <v>258</v>
      </c>
      <c r="B51">
        <v>18903.010009319994</v>
      </c>
      <c r="C51">
        <v>32166131.641282964</v>
      </c>
      <c r="D51">
        <v>0.98102618762873783</v>
      </c>
      <c r="G51" s="68">
        <v>822</v>
      </c>
      <c r="H51">
        <v>777</v>
      </c>
      <c r="I51">
        <v>350434</v>
      </c>
      <c r="J51">
        <v>0.97569627160926931</v>
      </c>
    </row>
    <row r="52" spans="1:10" ht="19" x14ac:dyDescent="0.25">
      <c r="A52" s="68">
        <v>135</v>
      </c>
      <c r="B52">
        <v>18656</v>
      </c>
      <c r="C52">
        <v>32184787.641282964</v>
      </c>
      <c r="D52">
        <v>0.98159517194928048</v>
      </c>
      <c r="G52" s="68">
        <v>278</v>
      </c>
      <c r="H52">
        <v>775</v>
      </c>
      <c r="I52">
        <v>351209</v>
      </c>
      <c r="J52">
        <v>0.97785406625960913</v>
      </c>
    </row>
    <row r="53" spans="1:10" ht="19" x14ac:dyDescent="0.25">
      <c r="A53" s="68">
        <v>251</v>
      </c>
      <c r="B53">
        <v>18627.930038399998</v>
      </c>
      <c r="C53">
        <v>32203415.571321364</v>
      </c>
      <c r="D53">
        <v>0.98216330017162268</v>
      </c>
      <c r="G53" s="68">
        <v>134</v>
      </c>
      <c r="H53">
        <v>768</v>
      </c>
      <c r="I53">
        <v>351977</v>
      </c>
      <c r="J53">
        <v>0.97999237115181681</v>
      </c>
    </row>
    <row r="54" spans="1:10" ht="19" x14ac:dyDescent="0.25">
      <c r="A54" s="68">
        <v>607</v>
      </c>
      <c r="B54">
        <v>18499.260406999991</v>
      </c>
      <c r="C54">
        <v>32221914.831728365</v>
      </c>
      <c r="D54">
        <v>0.98272750413352339</v>
      </c>
      <c r="G54" s="68">
        <v>825</v>
      </c>
      <c r="H54">
        <v>760</v>
      </c>
      <c r="I54">
        <v>352737</v>
      </c>
      <c r="J54">
        <v>0.98210840203473071</v>
      </c>
    </row>
    <row r="55" spans="1:10" ht="19" x14ac:dyDescent="0.25">
      <c r="A55" s="68">
        <v>677</v>
      </c>
      <c r="B55">
        <v>18498.149902479996</v>
      </c>
      <c r="C55">
        <v>32240412.981630847</v>
      </c>
      <c r="D55">
        <v>0.98329167422644581</v>
      </c>
      <c r="G55" s="68">
        <v>273</v>
      </c>
      <c r="H55">
        <v>759</v>
      </c>
      <c r="I55">
        <v>353496</v>
      </c>
      <c r="J55">
        <v>0.98422164866648287</v>
      </c>
    </row>
    <row r="56" spans="1:10" ht="19" x14ac:dyDescent="0.25">
      <c r="A56" s="68">
        <v>24</v>
      </c>
      <c r="B56">
        <v>18397.699973839994</v>
      </c>
      <c r="C56">
        <v>32258810.681604687</v>
      </c>
      <c r="D56">
        <v>0.98385278072404247</v>
      </c>
      <c r="G56" s="68">
        <v>810</v>
      </c>
      <c r="H56">
        <v>742</v>
      </c>
      <c r="I56">
        <v>354238</v>
      </c>
      <c r="J56">
        <v>0.98628756302848564</v>
      </c>
    </row>
    <row r="57" spans="1:10" ht="19" x14ac:dyDescent="0.25">
      <c r="A57" s="68">
        <v>78</v>
      </c>
      <c r="B57">
        <v>18098.189979399998</v>
      </c>
      <c r="C57">
        <v>32276908.871584088</v>
      </c>
      <c r="D57">
        <v>0.98440475254696702</v>
      </c>
      <c r="G57" s="68">
        <v>37</v>
      </c>
      <c r="H57">
        <v>740</v>
      </c>
      <c r="I57">
        <v>354978</v>
      </c>
      <c r="J57">
        <v>0.98834790888816504</v>
      </c>
    </row>
    <row r="58" spans="1:10" ht="19" x14ac:dyDescent="0.25">
      <c r="A58" s="68">
        <v>804</v>
      </c>
      <c r="B58">
        <v>17990.999806969976</v>
      </c>
      <c r="C58">
        <v>32294899.871391058</v>
      </c>
      <c r="D58">
        <v>0.98495345520568556</v>
      </c>
      <c r="G58" s="68">
        <v>24</v>
      </c>
      <c r="H58">
        <v>230</v>
      </c>
      <c r="I58">
        <v>355208</v>
      </c>
      <c r="J58">
        <v>0.98898828665536265</v>
      </c>
    </row>
    <row r="59" spans="1:10" ht="19" x14ac:dyDescent="0.25">
      <c r="A59" s="68">
        <v>295</v>
      </c>
      <c r="B59">
        <v>17891.049835299993</v>
      </c>
      <c r="C59">
        <v>32312790.921226356</v>
      </c>
      <c r="D59">
        <v>0.98549910951713138</v>
      </c>
      <c r="G59" s="68">
        <v>724</v>
      </c>
      <c r="H59">
        <v>220</v>
      </c>
      <c r="I59">
        <v>355428</v>
      </c>
      <c r="J59">
        <v>0.9896008219109429</v>
      </c>
    </row>
    <row r="60" spans="1:10" ht="19" x14ac:dyDescent="0.25">
      <c r="A60" s="68">
        <v>703</v>
      </c>
      <c r="B60">
        <v>17291.349814949972</v>
      </c>
      <c r="C60">
        <v>32330082.271041308</v>
      </c>
      <c r="D60">
        <v>0.98602647373913632</v>
      </c>
      <c r="G60" s="68">
        <v>646</v>
      </c>
      <c r="H60">
        <v>207</v>
      </c>
      <c r="I60">
        <v>355635</v>
      </c>
      <c r="J60">
        <v>0.9901771619014208</v>
      </c>
    </row>
    <row r="61" spans="1:10" ht="19" x14ac:dyDescent="0.25">
      <c r="A61" s="68">
        <v>981</v>
      </c>
      <c r="B61">
        <v>17028</v>
      </c>
      <c r="C61">
        <v>32347110.271041308</v>
      </c>
      <c r="D61">
        <v>0.98654580612604681</v>
      </c>
      <c r="G61" s="68">
        <v>251</v>
      </c>
      <c r="H61">
        <v>207</v>
      </c>
      <c r="I61">
        <v>355842</v>
      </c>
      <c r="J61">
        <v>0.9907535018918987</v>
      </c>
    </row>
    <row r="62" spans="1:10" ht="19" x14ac:dyDescent="0.25">
      <c r="A62" s="68">
        <v>306</v>
      </c>
      <c r="B62">
        <v>16738.140060279999</v>
      </c>
      <c r="C62">
        <v>32363848.411101587</v>
      </c>
      <c r="D62">
        <v>0.98705629815270557</v>
      </c>
      <c r="G62" s="68">
        <v>777</v>
      </c>
      <c r="H62">
        <v>203</v>
      </c>
      <c r="I62">
        <v>356045</v>
      </c>
      <c r="J62">
        <v>0.99131870487772966</v>
      </c>
    </row>
    <row r="63" spans="1:10" ht="19" x14ac:dyDescent="0.25">
      <c r="A63" s="68">
        <v>777</v>
      </c>
      <c r="B63">
        <v>16237.969940219995</v>
      </c>
      <c r="C63">
        <v>32380086.381041806</v>
      </c>
      <c r="D63">
        <v>0.98755153562555231</v>
      </c>
      <c r="G63" s="68">
        <v>359</v>
      </c>
      <c r="H63">
        <v>199</v>
      </c>
      <c r="I63">
        <v>356244</v>
      </c>
      <c r="J63">
        <v>0.99187277085891368</v>
      </c>
    </row>
    <row r="64" spans="1:10" ht="19" x14ac:dyDescent="0.25">
      <c r="A64" s="68">
        <v>797</v>
      </c>
      <c r="B64">
        <v>15381.449813459963</v>
      </c>
      <c r="C64">
        <v>32395467.830855265</v>
      </c>
      <c r="D64">
        <v>0.98802065032168607</v>
      </c>
      <c r="G64" s="68">
        <v>258</v>
      </c>
      <c r="H64">
        <v>199</v>
      </c>
      <c r="I64">
        <v>356443</v>
      </c>
      <c r="J64">
        <v>0.99242683684009769</v>
      </c>
    </row>
    <row r="65" spans="1:10" ht="19" x14ac:dyDescent="0.25">
      <c r="A65" s="68">
        <v>730</v>
      </c>
      <c r="B65">
        <v>15120</v>
      </c>
      <c r="C65">
        <v>32410587.830855265</v>
      </c>
      <c r="D65">
        <v>0.98848179113035917</v>
      </c>
      <c r="G65" s="68">
        <v>730</v>
      </c>
      <c r="H65">
        <v>189</v>
      </c>
      <c r="I65">
        <v>356632</v>
      </c>
      <c r="J65">
        <v>0.99295306030966446</v>
      </c>
    </row>
    <row r="66" spans="1:10" ht="19" x14ac:dyDescent="0.25">
      <c r="A66" s="68">
        <v>810</v>
      </c>
      <c r="B66">
        <v>14832.579835519977</v>
      </c>
      <c r="C66">
        <v>32425420.410690784</v>
      </c>
      <c r="D66">
        <v>0.98893416598882877</v>
      </c>
      <c r="G66" s="68">
        <v>306</v>
      </c>
      <c r="H66">
        <v>186</v>
      </c>
      <c r="I66">
        <v>356818</v>
      </c>
      <c r="J66">
        <v>0.99347093102574602</v>
      </c>
    </row>
    <row r="67" spans="1:10" ht="19" x14ac:dyDescent="0.25">
      <c r="A67" s="68">
        <v>926</v>
      </c>
      <c r="B67">
        <v>14055.209802249969</v>
      </c>
      <c r="C67">
        <v>32439475.620493036</v>
      </c>
      <c r="D67">
        <v>0.98936283204797426</v>
      </c>
      <c r="G67" s="68">
        <v>677</v>
      </c>
      <c r="H67">
        <v>185</v>
      </c>
      <c r="I67">
        <v>357003</v>
      </c>
      <c r="J67">
        <v>0.99398601749066584</v>
      </c>
    </row>
    <row r="68" spans="1:10" ht="19" x14ac:dyDescent="0.25">
      <c r="A68" s="68">
        <v>1059</v>
      </c>
      <c r="B68">
        <v>13999.599607999995</v>
      </c>
      <c r="C68">
        <v>32453475.220101036</v>
      </c>
      <c r="D68">
        <v>0.98978980206677936</v>
      </c>
      <c r="G68" s="68">
        <v>78</v>
      </c>
      <c r="H68">
        <v>181</v>
      </c>
      <c r="I68">
        <v>357184</v>
      </c>
      <c r="J68">
        <v>0.99448996695093872</v>
      </c>
    </row>
    <row r="69" spans="1:10" ht="19" x14ac:dyDescent="0.25">
      <c r="A69" s="68">
        <v>924</v>
      </c>
      <c r="B69">
        <v>13335.659799229996</v>
      </c>
      <c r="C69">
        <v>32466810.879900265</v>
      </c>
      <c r="D69">
        <v>0.99019652276413417</v>
      </c>
      <c r="G69" s="68">
        <v>295</v>
      </c>
      <c r="H69">
        <v>179</v>
      </c>
      <c r="I69">
        <v>357363</v>
      </c>
      <c r="J69">
        <v>0.99498834790888813</v>
      </c>
    </row>
    <row r="70" spans="1:10" ht="19" x14ac:dyDescent="0.25">
      <c r="A70" s="68">
        <v>303</v>
      </c>
      <c r="B70">
        <v>13199.669676599995</v>
      </c>
      <c r="C70">
        <v>32480010.549576864</v>
      </c>
      <c r="D70">
        <v>0.99059909593535678</v>
      </c>
      <c r="G70" s="68">
        <v>981</v>
      </c>
      <c r="H70">
        <v>172</v>
      </c>
      <c r="I70">
        <v>357535</v>
      </c>
      <c r="J70">
        <v>0.99546723910870549</v>
      </c>
    </row>
    <row r="71" spans="1:10" ht="19" x14ac:dyDescent="0.25">
      <c r="A71" s="68">
        <v>671</v>
      </c>
      <c r="B71">
        <v>13019.380340999991</v>
      </c>
      <c r="C71">
        <v>32493029.929917865</v>
      </c>
      <c r="D71">
        <v>0.9909961705106789</v>
      </c>
      <c r="G71" s="68">
        <v>691</v>
      </c>
      <c r="H71">
        <v>132</v>
      </c>
      <c r="I71">
        <v>357667</v>
      </c>
      <c r="J71">
        <v>0.99583476026205375</v>
      </c>
    </row>
    <row r="72" spans="1:10" ht="19" x14ac:dyDescent="0.25">
      <c r="A72" s="68">
        <v>305</v>
      </c>
      <c r="B72">
        <v>12935</v>
      </c>
      <c r="C72">
        <v>32505964.929917865</v>
      </c>
      <c r="D72">
        <v>0.99139067159270189</v>
      </c>
      <c r="G72" s="68">
        <v>666</v>
      </c>
      <c r="H72">
        <v>83</v>
      </c>
      <c r="I72">
        <v>357750</v>
      </c>
      <c r="J72">
        <v>0.99606585310847717</v>
      </c>
    </row>
    <row r="73" spans="1:10" ht="19" x14ac:dyDescent="0.25">
      <c r="A73" s="68">
        <v>203</v>
      </c>
      <c r="B73">
        <v>12799.679686399995</v>
      </c>
      <c r="C73">
        <v>32518764.609604266</v>
      </c>
      <c r="D73">
        <v>0.99178104557691771</v>
      </c>
      <c r="G73" s="68">
        <v>607</v>
      </c>
      <c r="H73">
        <v>74</v>
      </c>
      <c r="I73">
        <v>357824</v>
      </c>
      <c r="J73">
        <v>0.99627188769444519</v>
      </c>
    </row>
    <row r="74" spans="1:10" ht="19" x14ac:dyDescent="0.25">
      <c r="A74" s="68">
        <v>773</v>
      </c>
      <c r="B74">
        <v>12749.490280499993</v>
      </c>
      <c r="C74">
        <v>32531514.099884767</v>
      </c>
      <c r="D74">
        <v>0.99216988884795743</v>
      </c>
      <c r="G74" s="68">
        <v>725</v>
      </c>
      <c r="H74">
        <v>72</v>
      </c>
      <c r="I74">
        <v>357896</v>
      </c>
      <c r="J74">
        <v>0.99647235377808963</v>
      </c>
    </row>
    <row r="75" spans="1:10" ht="19" x14ac:dyDescent="0.25">
      <c r="A75" s="68">
        <v>793</v>
      </c>
      <c r="B75">
        <v>12531.639821639979</v>
      </c>
      <c r="C75">
        <v>32544045.739706408</v>
      </c>
      <c r="D75">
        <v>0.9925520879565124</v>
      </c>
      <c r="G75" s="68">
        <v>705</v>
      </c>
      <c r="H75">
        <v>68</v>
      </c>
      <c r="I75">
        <v>357964</v>
      </c>
      <c r="J75">
        <v>0.99666168285708712</v>
      </c>
    </row>
    <row r="76" spans="1:10" ht="19" x14ac:dyDescent="0.25">
      <c r="A76" s="68">
        <v>792</v>
      </c>
      <c r="B76">
        <v>12381.739814339981</v>
      </c>
      <c r="C76">
        <v>32556427.479520749</v>
      </c>
      <c r="D76">
        <v>0.99292971530510798</v>
      </c>
      <c r="G76" s="68">
        <v>647</v>
      </c>
      <c r="H76">
        <v>67</v>
      </c>
      <c r="I76">
        <v>358031</v>
      </c>
      <c r="J76">
        <v>0.99684822768492298</v>
      </c>
    </row>
    <row r="77" spans="1:10" ht="19" x14ac:dyDescent="0.25">
      <c r="A77" s="68">
        <v>208</v>
      </c>
      <c r="B77">
        <v>11999.93994</v>
      </c>
      <c r="C77">
        <v>32568427.419460751</v>
      </c>
      <c r="D77">
        <v>0.99329569824214248</v>
      </c>
      <c r="G77" s="68">
        <v>305</v>
      </c>
      <c r="H77">
        <v>65</v>
      </c>
      <c r="I77">
        <v>358096</v>
      </c>
      <c r="J77">
        <v>0.99702920401043538</v>
      </c>
    </row>
    <row r="78" spans="1:10" ht="19" x14ac:dyDescent="0.25">
      <c r="A78" s="68">
        <v>625</v>
      </c>
      <c r="B78">
        <v>11799.410324499993</v>
      </c>
      <c r="C78">
        <v>32580226.82978525</v>
      </c>
      <c r="D78">
        <v>0.99365556528042975</v>
      </c>
      <c r="G78" s="68">
        <v>715</v>
      </c>
      <c r="H78">
        <v>65</v>
      </c>
      <c r="I78">
        <v>358161</v>
      </c>
      <c r="J78">
        <v>0.99721018033594777</v>
      </c>
    </row>
    <row r="79" spans="1:10" ht="19" x14ac:dyDescent="0.25">
      <c r="A79" s="68">
        <v>216</v>
      </c>
      <c r="B79">
        <v>11718</v>
      </c>
      <c r="C79">
        <v>32591944.82978525</v>
      </c>
      <c r="D79">
        <v>0.99401294940715146</v>
      </c>
      <c r="G79" s="68">
        <v>19</v>
      </c>
      <c r="H79">
        <v>63</v>
      </c>
      <c r="I79">
        <v>358224</v>
      </c>
      <c r="J79">
        <v>0.99738558815913669</v>
      </c>
    </row>
    <row r="80" spans="1:10" ht="19" x14ac:dyDescent="0.25">
      <c r="A80" s="68">
        <v>786</v>
      </c>
      <c r="B80">
        <v>11339.370346499993</v>
      </c>
      <c r="C80">
        <v>32603284.200131752</v>
      </c>
      <c r="D80">
        <v>0.99435878581002379</v>
      </c>
      <c r="G80" s="68">
        <v>786</v>
      </c>
      <c r="H80">
        <v>63</v>
      </c>
      <c r="I80">
        <v>358287</v>
      </c>
      <c r="J80">
        <v>0.99756099598232562</v>
      </c>
    </row>
    <row r="81" spans="1:10" ht="19" x14ac:dyDescent="0.25">
      <c r="A81" s="68">
        <v>858</v>
      </c>
      <c r="B81">
        <v>11199.440307999994</v>
      </c>
      <c r="C81">
        <v>32614483.640439752</v>
      </c>
      <c r="D81">
        <v>0.99470035452433048</v>
      </c>
      <c r="G81" s="68">
        <v>216</v>
      </c>
      <c r="H81">
        <v>62</v>
      </c>
      <c r="I81">
        <v>358349</v>
      </c>
      <c r="J81">
        <v>0.9977336195543528</v>
      </c>
    </row>
    <row r="82" spans="1:10" ht="19" x14ac:dyDescent="0.25">
      <c r="A82" s="68">
        <v>364</v>
      </c>
      <c r="B82">
        <v>10799.639647199996</v>
      </c>
      <c r="C82">
        <v>32625283.280086953</v>
      </c>
      <c r="D82">
        <v>0.99502972982593685</v>
      </c>
      <c r="G82" s="68">
        <v>671</v>
      </c>
      <c r="H82">
        <v>62</v>
      </c>
      <c r="I82">
        <v>358411</v>
      </c>
      <c r="J82">
        <v>0.99790624312637999</v>
      </c>
    </row>
    <row r="83" spans="1:10" ht="19" x14ac:dyDescent="0.25">
      <c r="A83" s="68">
        <v>691</v>
      </c>
      <c r="B83">
        <v>10558.679908799995</v>
      </c>
      <c r="C83">
        <v>32635841.959995754</v>
      </c>
      <c r="D83">
        <v>0.9953517561613644</v>
      </c>
      <c r="G83" s="68">
        <v>35</v>
      </c>
      <c r="H83">
        <v>62</v>
      </c>
      <c r="I83">
        <v>358473</v>
      </c>
      <c r="J83">
        <v>0.99807886669840717</v>
      </c>
    </row>
    <row r="84" spans="1:10" ht="19" x14ac:dyDescent="0.25">
      <c r="A84" s="68">
        <v>743</v>
      </c>
      <c r="B84">
        <v>10369.390335499993</v>
      </c>
      <c r="C84">
        <v>32646211.350331254</v>
      </c>
      <c r="D84">
        <v>0.9956680094050655</v>
      </c>
      <c r="G84" s="68">
        <v>743</v>
      </c>
      <c r="H84">
        <v>61</v>
      </c>
      <c r="I84">
        <v>358534</v>
      </c>
      <c r="J84">
        <v>0.99824870601927262</v>
      </c>
    </row>
    <row r="85" spans="1:10" ht="19" x14ac:dyDescent="0.25">
      <c r="A85" s="68">
        <v>35</v>
      </c>
      <c r="B85">
        <v>9919.3803409999928</v>
      </c>
      <c r="C85">
        <v>32656130.730672255</v>
      </c>
      <c r="D85">
        <v>0.99597053791511736</v>
      </c>
      <c r="G85" s="68">
        <v>625</v>
      </c>
      <c r="H85">
        <v>59</v>
      </c>
      <c r="I85">
        <v>358593</v>
      </c>
      <c r="J85">
        <v>0.9984129768378146</v>
      </c>
    </row>
    <row r="86" spans="1:10" ht="19" x14ac:dyDescent="0.25">
      <c r="A86" s="68">
        <v>768</v>
      </c>
      <c r="B86">
        <v>9899.6696765999968</v>
      </c>
      <c r="C86">
        <v>32666030.400348853</v>
      </c>
      <c r="D86">
        <v>0.99627246527492308</v>
      </c>
      <c r="G86" s="68">
        <v>982</v>
      </c>
      <c r="H86">
        <v>58</v>
      </c>
      <c r="I86">
        <v>358651</v>
      </c>
      <c r="J86">
        <v>0.99857446340519485</v>
      </c>
    </row>
    <row r="87" spans="1:10" ht="19" x14ac:dyDescent="0.25">
      <c r="A87" s="68">
        <v>845</v>
      </c>
      <c r="B87">
        <v>9299.6896961999973</v>
      </c>
      <c r="C87">
        <v>32675330.090045054</v>
      </c>
      <c r="D87">
        <v>0.99655609400686196</v>
      </c>
      <c r="G87" s="68">
        <v>858</v>
      </c>
      <c r="H87">
        <v>56</v>
      </c>
      <c r="I87">
        <v>358707</v>
      </c>
      <c r="J87">
        <v>0.99873038147025162</v>
      </c>
    </row>
    <row r="88" spans="1:10" ht="19" x14ac:dyDescent="0.25">
      <c r="A88" s="68">
        <v>666</v>
      </c>
      <c r="B88">
        <v>9129.1698257000098</v>
      </c>
      <c r="C88">
        <v>32684459.259870753</v>
      </c>
      <c r="D88">
        <v>0.99683452209918577</v>
      </c>
      <c r="G88" s="68">
        <v>652</v>
      </c>
      <c r="H88">
        <v>54</v>
      </c>
      <c r="I88">
        <v>358761</v>
      </c>
      <c r="J88">
        <v>0.99888073103298503</v>
      </c>
    </row>
    <row r="89" spans="1:10" ht="19" x14ac:dyDescent="0.25">
      <c r="A89" s="68">
        <v>647</v>
      </c>
      <c r="B89">
        <v>9044.3303684999919</v>
      </c>
      <c r="C89">
        <v>32693503.590239253</v>
      </c>
      <c r="D89">
        <v>0.99711036269574904</v>
      </c>
      <c r="G89" s="68">
        <v>773</v>
      </c>
      <c r="H89">
        <v>51</v>
      </c>
      <c r="I89">
        <v>358812</v>
      </c>
      <c r="J89">
        <v>0.99902272784223323</v>
      </c>
    </row>
    <row r="90" spans="1:10" ht="19" x14ac:dyDescent="0.25">
      <c r="A90" s="68">
        <v>982</v>
      </c>
      <c r="B90">
        <v>8699.4203189999935</v>
      </c>
      <c r="C90">
        <v>32702203.010558251</v>
      </c>
      <c r="D90">
        <v>0.99737568397358578</v>
      </c>
      <c r="G90" s="68">
        <v>311</v>
      </c>
      <c r="H90">
        <v>48</v>
      </c>
      <c r="I90">
        <v>358860</v>
      </c>
      <c r="J90">
        <v>0.99915637189799622</v>
      </c>
    </row>
    <row r="91" spans="1:10" ht="19" x14ac:dyDescent="0.25">
      <c r="A91" s="68">
        <v>715</v>
      </c>
      <c r="B91">
        <v>8449.3503574999922</v>
      </c>
      <c r="C91">
        <v>32710652.36091575</v>
      </c>
      <c r="D91">
        <v>0.99763337843500233</v>
      </c>
      <c r="G91" s="68">
        <v>1059</v>
      </c>
      <c r="H91">
        <v>40</v>
      </c>
      <c r="I91">
        <v>358900</v>
      </c>
      <c r="J91">
        <v>0.99926774194446533</v>
      </c>
    </row>
    <row r="92" spans="1:10" ht="19" x14ac:dyDescent="0.25">
      <c r="A92" s="68">
        <v>775</v>
      </c>
      <c r="B92">
        <v>8441.5499413159941</v>
      </c>
      <c r="C92">
        <v>32719093.910857067</v>
      </c>
      <c r="D92">
        <v>0.99789083499362619</v>
      </c>
      <c r="G92" s="68">
        <v>364</v>
      </c>
      <c r="H92">
        <v>36</v>
      </c>
      <c r="I92">
        <v>358936</v>
      </c>
      <c r="J92">
        <v>0.9993679749862876</v>
      </c>
    </row>
    <row r="93" spans="1:10" ht="19" x14ac:dyDescent="0.25">
      <c r="A93" s="68">
        <v>58</v>
      </c>
      <c r="B93">
        <v>8399.7197255999981</v>
      </c>
      <c r="C93">
        <v>32727493.630582668</v>
      </c>
      <c r="D93">
        <v>0.99814701578376452</v>
      </c>
      <c r="G93" s="68">
        <v>768</v>
      </c>
      <c r="H93">
        <v>33</v>
      </c>
      <c r="I93">
        <v>358969</v>
      </c>
      <c r="J93">
        <v>0.99945985527462466</v>
      </c>
    </row>
    <row r="94" spans="1:10" ht="19" x14ac:dyDescent="0.25">
      <c r="A94" s="68">
        <v>127</v>
      </c>
      <c r="B94">
        <v>8249.7497549999989</v>
      </c>
      <c r="C94">
        <v>32735743.380337667</v>
      </c>
      <c r="D94">
        <v>0.99839862268015145</v>
      </c>
      <c r="G94" s="68">
        <v>303</v>
      </c>
      <c r="H94">
        <v>33</v>
      </c>
      <c r="I94">
        <v>359002</v>
      </c>
      <c r="J94">
        <v>0.99955173556296162</v>
      </c>
    </row>
    <row r="95" spans="1:10" ht="19" x14ac:dyDescent="0.25">
      <c r="A95" s="68">
        <v>705</v>
      </c>
      <c r="B95">
        <v>8159.3198572000074</v>
      </c>
      <c r="C95">
        <v>32743902.700194865</v>
      </c>
      <c r="D95">
        <v>0.99864747157943534</v>
      </c>
      <c r="G95" s="68">
        <v>203</v>
      </c>
      <c r="H95">
        <v>32</v>
      </c>
      <c r="I95">
        <v>359034</v>
      </c>
      <c r="J95">
        <v>0.99964083160013695</v>
      </c>
    </row>
    <row r="96" spans="1:10" ht="19" x14ac:dyDescent="0.25">
      <c r="A96" s="68">
        <v>19</v>
      </c>
      <c r="B96">
        <v>7874.3698677000066</v>
      </c>
      <c r="C96">
        <v>32751777.070062567</v>
      </c>
      <c r="D96">
        <v>0.99888762986571722</v>
      </c>
      <c r="G96" s="68">
        <v>845</v>
      </c>
      <c r="H96">
        <v>31</v>
      </c>
      <c r="I96">
        <v>359065</v>
      </c>
      <c r="J96">
        <v>0.99972714338615054</v>
      </c>
    </row>
    <row r="97" spans="1:10" ht="19" x14ac:dyDescent="0.25">
      <c r="A97" s="68">
        <v>61</v>
      </c>
      <c r="B97">
        <v>7799.7397451999977</v>
      </c>
      <c r="C97">
        <v>32759576.809807766</v>
      </c>
      <c r="D97">
        <v>0.99912551202798849</v>
      </c>
      <c r="G97" s="68">
        <v>58</v>
      </c>
      <c r="H97">
        <v>28</v>
      </c>
      <c r="I97">
        <v>359093</v>
      </c>
      <c r="J97">
        <v>0.99980510241867904</v>
      </c>
    </row>
    <row r="98" spans="1:10" ht="19" x14ac:dyDescent="0.25">
      <c r="A98" s="68">
        <v>725</v>
      </c>
      <c r="B98">
        <v>7776</v>
      </c>
      <c r="C98">
        <v>32767352.809807766</v>
      </c>
      <c r="D98">
        <v>0.99936267015816316</v>
      </c>
      <c r="G98" s="68">
        <v>61</v>
      </c>
      <c r="H98">
        <v>26</v>
      </c>
      <c r="I98">
        <v>359119</v>
      </c>
      <c r="J98">
        <v>0.99987749294888395</v>
      </c>
    </row>
    <row r="99" spans="1:10" ht="19" x14ac:dyDescent="0.25">
      <c r="A99" s="68">
        <v>652</v>
      </c>
      <c r="B99">
        <v>7019.4602969999942</v>
      </c>
      <c r="C99">
        <v>32774372.270104766</v>
      </c>
      <c r="D99">
        <v>0.99957675478764785</v>
      </c>
      <c r="G99" s="68">
        <v>127</v>
      </c>
      <c r="H99">
        <v>25</v>
      </c>
      <c r="I99">
        <v>359144</v>
      </c>
      <c r="J99">
        <v>0.99994709922792713</v>
      </c>
    </row>
    <row r="100" spans="1:10" ht="19" x14ac:dyDescent="0.25">
      <c r="A100" s="68">
        <v>311</v>
      </c>
      <c r="B100">
        <v>5277.5998511999969</v>
      </c>
      <c r="C100">
        <v>32779649.869955964</v>
      </c>
      <c r="D100">
        <v>0.99973771488442253</v>
      </c>
      <c r="G100" s="68">
        <v>226</v>
      </c>
      <c r="H100">
        <v>7</v>
      </c>
      <c r="I100">
        <v>359151</v>
      </c>
      <c r="J100">
        <v>0.99996658898605928</v>
      </c>
    </row>
    <row r="101" spans="1:10" ht="19" x14ac:dyDescent="0.25">
      <c r="A101" s="68">
        <v>226</v>
      </c>
      <c r="B101">
        <v>4199.9299313999991</v>
      </c>
      <c r="C101">
        <v>32783849.799887363</v>
      </c>
      <c r="D101">
        <v>0.999865807416495</v>
      </c>
      <c r="G101" s="68">
        <v>208</v>
      </c>
      <c r="H101">
        <v>6</v>
      </c>
      <c r="I101">
        <v>359157</v>
      </c>
      <c r="J101">
        <v>0.99998329449302958</v>
      </c>
    </row>
    <row r="102" spans="1:10" ht="19" x14ac:dyDescent="0.25">
      <c r="A102" s="68">
        <v>860</v>
      </c>
      <c r="B102">
        <v>2399.9599607999999</v>
      </c>
      <c r="C102">
        <v>32786249.759848163</v>
      </c>
      <c r="D102">
        <v>0.99993900314910789</v>
      </c>
      <c r="G102" s="68">
        <v>860</v>
      </c>
      <c r="H102">
        <v>4</v>
      </c>
      <c r="I102">
        <v>359161</v>
      </c>
      <c r="J102">
        <v>0.99999443149767653</v>
      </c>
    </row>
    <row r="103" spans="1:10" ht="19" x14ac:dyDescent="0.25">
      <c r="A103" s="68">
        <v>60</v>
      </c>
      <c r="B103">
        <v>1999.9799803999999</v>
      </c>
      <c r="C103">
        <v>32788249.739828564</v>
      </c>
      <c r="D103">
        <v>1.0000000000000002</v>
      </c>
      <c r="G103" s="68">
        <v>60</v>
      </c>
      <c r="H103">
        <v>2</v>
      </c>
      <c r="I103">
        <v>359163</v>
      </c>
      <c r="J103">
        <v>1</v>
      </c>
    </row>
    <row r="104" spans="1:10" ht="19" x14ac:dyDescent="0.25">
      <c r="A104" s="68" t="s">
        <v>234</v>
      </c>
      <c r="B104">
        <v>32788249.739828557</v>
      </c>
      <c r="C104"/>
      <c r="D104"/>
      <c r="G104" s="68" t="s">
        <v>234</v>
      </c>
      <c r="H104">
        <v>359163</v>
      </c>
      <c r="I104"/>
      <c r="J104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D7E8-DFE1-6D43-8004-1F4459D866EF}">
  <dimension ref="A1:S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42" sqref="J42"/>
    </sheetView>
  </sheetViews>
  <sheetFormatPr baseColWidth="10" defaultRowHeight="16" x14ac:dyDescent="0.2"/>
  <cols>
    <col min="1" max="1" width="13.85546875" style="27" customWidth="1"/>
    <col min="2" max="2" width="11.5703125" style="10" customWidth="1"/>
    <col min="3" max="3" width="12.42578125" style="32" customWidth="1"/>
    <col min="4" max="4" width="11.5703125" style="37" customWidth="1"/>
    <col min="5" max="5" width="12" style="10" customWidth="1"/>
    <col min="6" max="6" width="14.28515625" style="32" customWidth="1"/>
    <col min="7" max="7" width="12.140625" style="12" customWidth="1"/>
    <col min="8" max="10" width="10.7109375" style="10"/>
    <col min="11" max="11" width="9" style="12" customWidth="1"/>
    <col min="12" max="12" width="10" style="10" customWidth="1"/>
    <col min="13" max="13" width="13.28515625" style="10" customWidth="1"/>
    <col min="14" max="14" width="14.140625" style="10" bestFit="1" customWidth="1"/>
    <col min="15" max="15" width="11" style="10" customWidth="1"/>
    <col min="16" max="16" width="18.28515625" style="10" customWidth="1"/>
    <col min="17" max="17" width="10.85546875" style="10" customWidth="1"/>
    <col min="18" max="16384" width="10.7109375" style="10"/>
  </cols>
  <sheetData>
    <row r="1" spans="1:17" s="26" customFormat="1" x14ac:dyDescent="0.2">
      <c r="A1" s="27" t="s">
        <v>361</v>
      </c>
      <c r="B1" s="26" t="s">
        <v>0</v>
      </c>
      <c r="C1" s="34" t="s">
        <v>239</v>
      </c>
      <c r="D1" s="35" t="s">
        <v>240</v>
      </c>
      <c r="E1" s="26" t="s">
        <v>238</v>
      </c>
      <c r="F1" s="34" t="s">
        <v>241</v>
      </c>
      <c r="G1" s="26" t="s">
        <v>242</v>
      </c>
      <c r="H1" s="26" t="s">
        <v>243</v>
      </c>
      <c r="K1" s="26" t="s">
        <v>240</v>
      </c>
      <c r="L1" s="26" t="s">
        <v>335</v>
      </c>
      <c r="M1" s="26" t="s">
        <v>254</v>
      </c>
      <c r="N1" s="26" t="s">
        <v>255</v>
      </c>
      <c r="O1" s="26" t="s">
        <v>256</v>
      </c>
      <c r="P1" s="26" t="s">
        <v>369</v>
      </c>
      <c r="Q1" s="26" t="s">
        <v>259</v>
      </c>
    </row>
    <row r="2" spans="1:17" x14ac:dyDescent="0.2">
      <c r="A2" s="27">
        <v>1004</v>
      </c>
      <c r="B2" s="36">
        <v>6631668.5823810482</v>
      </c>
      <c r="C2" s="32">
        <v>0.20225747440020944</v>
      </c>
      <c r="D2" s="37" t="s">
        <v>235</v>
      </c>
      <c r="E2" s="10">
        <f>_xlfn.XLOOKUP(A2,'ABC Analysis'!$G:$G,'ABC Analysis'!H:H,,0)</f>
        <v>16580</v>
      </c>
      <c r="F2" s="32">
        <f>_xlfn.XLOOKUP(A2,'ABC Analysis'!G:G,'ABC Analysis'!J:J,,0)</f>
        <v>0.8048072880558409</v>
      </c>
      <c r="G2" s="12" t="str">
        <f>_xlfn.LET(_xlpm.prev,Table3[[#This Row],[Units cum %]]-Table3[[#This Row],[Units]]/SUM(Table3[Units]),IF(_xlpm.prev&lt;0.88,"A",IF(_xlpm.prev&lt;0.987,"B","C")))</f>
        <v>A</v>
      </c>
      <c r="H2" s="10">
        <f>ABS(CODE(Table3[[#This Row],[Rev class]])-CODE(Table3[[#This Row],[Units class]]))</f>
        <v>0</v>
      </c>
      <c r="K2" s="12" t="s">
        <v>235</v>
      </c>
      <c r="L2" s="10">
        <f>COUNTIF(D:D,"A")</f>
        <v>9</v>
      </c>
      <c r="M2" s="30">
        <f>L2/100</f>
        <v>0.09</v>
      </c>
      <c r="N2" s="38">
        <f>SUMIF(Table3[Rev class],"A",Table3[Sales])</f>
        <v>31008422.164843302</v>
      </c>
      <c r="O2" s="32">
        <f>N2/(SUM(Table3[Sales]))</f>
        <v>0.94571751804051718</v>
      </c>
      <c r="P2" s="33">
        <f>SUMIF(Table3[Rev class],"A",Table3[Units])</f>
        <v>317014</v>
      </c>
      <c r="Q2" s="32">
        <f>Table5[[#This Row],[Units (of these products)]]/Table5[[#Totals],[Units (of these products)]]</f>
        <v>0.88264659778429289</v>
      </c>
    </row>
    <row r="3" spans="1:17" x14ac:dyDescent="0.2">
      <c r="A3" s="27">
        <v>365</v>
      </c>
      <c r="B3" s="36">
        <v>4226595.5680890204</v>
      </c>
      <c r="C3" s="32">
        <v>0.33116327454589056</v>
      </c>
      <c r="D3" s="37" t="str">
        <f>IF(C2&lt;=94%,"A",IF(C2&lt;=99%,"B","C"))</f>
        <v>A</v>
      </c>
      <c r="E3" s="10">
        <f>_xlfn.XLOOKUP(A3,'ABC Analysis'!$G:$G,'ABC Analysis'!H:H,,0)</f>
        <v>70455</v>
      </c>
      <c r="F3" s="32">
        <f>_xlfn.XLOOKUP(A3,'ABC Analysis'!G:G,'ABC Analysis'!J:J,,0)</f>
        <v>0.1961644155996024</v>
      </c>
      <c r="G3" s="12" t="str">
        <f>_xlfn.LET(_xlpm.prev,Table3[[#This Row],[Units cum %]]-Table3[[#This Row],[Units]]/SUM(Table3[Units]),IF(_xlpm.prev&lt;0.88,"A",IF(_xlpm.prev&lt;0.987,"B","C")))</f>
        <v>A</v>
      </c>
      <c r="H3" s="10">
        <f>ABS(CODE(Table3[[#This Row],[Rev class]])-CODE(Table3[[#This Row],[Units class]]))</f>
        <v>0</v>
      </c>
      <c r="K3" s="12" t="s">
        <v>236</v>
      </c>
      <c r="L3" s="10">
        <f>COUNTIF(D:D,"B")</f>
        <v>57</v>
      </c>
      <c r="M3" s="30">
        <f t="shared" ref="M3:M4" si="0">L3/100</f>
        <v>0.56999999999999995</v>
      </c>
      <c r="N3" s="13">
        <f>SUMIF(Table3[Rev class],"B",Table3[Sales])</f>
        <v>1458388.7150569598</v>
      </c>
      <c r="O3" s="32">
        <f>N3/(SUM(Table3[Sales]))</f>
        <v>4.4479004723616732E-2</v>
      </c>
      <c r="P3" s="33">
        <f>SUMIF(Table3[Rev class],"B",Table3[Units])</f>
        <v>38128</v>
      </c>
      <c r="Q3" s="32">
        <f>Table5[[#This Row],[Units (of these products)]]/Table5[[#Totals],[Units (of these products)]]</f>
        <v>0.10615792829439558</v>
      </c>
    </row>
    <row r="4" spans="1:17" x14ac:dyDescent="0.2">
      <c r="A4" s="27">
        <v>957</v>
      </c>
      <c r="B4" s="36">
        <v>3942337.3045611167</v>
      </c>
      <c r="C4" s="32">
        <v>0.45139955845378943</v>
      </c>
      <c r="D4" s="37" t="str">
        <f t="shared" ref="D4:D67" si="1">IF(C3&lt;=94%,"A",IF(C3&lt;=99%,"B","C"))</f>
        <v>A</v>
      </c>
      <c r="E4" s="10">
        <f>_xlfn.XLOOKUP(A4,'ABC Analysis'!$G:$G,'ABC Analysis'!H:H,,0)</f>
        <v>13142</v>
      </c>
      <c r="F4" s="32">
        <f>_xlfn.XLOOKUP(A4,'ABC Analysis'!G:G,'ABC Analysis'!J:J,,0)</f>
        <v>0.88264659778429289</v>
      </c>
      <c r="G4" s="12" t="str">
        <f>_xlfn.LET(_xlpm.prev,Table3[[#This Row],[Units cum %]]-Table3[[#This Row],[Units]]/SUM(Table3[Units]),IF(_xlpm.prev&lt;0.88,"A",IF(_xlpm.prev&lt;0.987,"B","C")))</f>
        <v>A</v>
      </c>
      <c r="H4" s="10">
        <f>ABS(CODE(Table3[[#This Row],[Rev class]])-CODE(Table3[[#This Row],[Units class]]))</f>
        <v>0</v>
      </c>
      <c r="K4" s="12" t="s">
        <v>237</v>
      </c>
      <c r="L4" s="10">
        <f>COUNTIF(D:D,"C")</f>
        <v>34</v>
      </c>
      <c r="M4" s="30">
        <f t="shared" si="0"/>
        <v>0.34</v>
      </c>
      <c r="N4" s="13">
        <f>SUMIF(Table3[Rev class],"C",Table3[Sales])</f>
        <v>321438.85992829595</v>
      </c>
      <c r="O4" s="32">
        <f>N4/(SUM(Table3[Sales]))</f>
        <v>9.8034772358659185E-3</v>
      </c>
      <c r="P4" s="33">
        <f>SUMIF(Table3[Rev class],"C",Table3[Units])</f>
        <v>4021</v>
      </c>
      <c r="Q4" s="32">
        <f>Table5[[#This Row],[Units (of these products)]]/Table5[[#Totals],[Units (of these products)]]</f>
        <v>1.1195473921311493E-2</v>
      </c>
    </row>
    <row r="5" spans="1:17" x14ac:dyDescent="0.2">
      <c r="A5" s="27">
        <v>191</v>
      </c>
      <c r="B5" s="36">
        <v>3501149.8467176049</v>
      </c>
      <c r="C5" s="32">
        <v>0.55818018488242993</v>
      </c>
      <c r="D5" s="37" t="str">
        <f t="shared" si="1"/>
        <v>A</v>
      </c>
      <c r="E5" s="10">
        <f>_xlfn.XLOOKUP(A5,'ABC Analysis'!$G:$G,'ABC Analysis'!H:H,,0)</f>
        <v>35015</v>
      </c>
      <c r="F5" s="32">
        <f>_xlfn.XLOOKUP(A5,'ABC Analysis'!G:G,'ABC Analysis'!J:J,,0)</f>
        <v>0.61501045486311234</v>
      </c>
      <c r="G5" s="12" t="str">
        <f>_xlfn.LET(_xlpm.prev,Table3[[#This Row],[Units cum %]]-Table3[[#This Row],[Units]]/SUM(Table3[Units]),IF(_xlpm.prev&lt;0.88,"A",IF(_xlpm.prev&lt;0.987,"B","C")))</f>
        <v>A</v>
      </c>
      <c r="H5" s="10">
        <f>ABS(CODE(Table3[[#This Row],[Rev class]])-CODE(Table3[[#This Row],[Units class]]))</f>
        <v>0</v>
      </c>
      <c r="K5" s="12" t="s">
        <v>258</v>
      </c>
      <c r="L5" s="10">
        <f>SUM(Table5[Products])</f>
        <v>100</v>
      </c>
      <c r="M5" s="22">
        <f>SUM(Table5[% of product])</f>
        <v>1</v>
      </c>
      <c r="N5" s="13">
        <f>SUM(Table5[Revenue])</f>
        <v>32788249.739828557</v>
      </c>
      <c r="O5" s="22">
        <f>SUM(Table5[% of revenue])</f>
        <v>0.99999999999999989</v>
      </c>
      <c r="P5" s="33">
        <f>SUM(Table5[Units (of these products)])</f>
        <v>359163</v>
      </c>
      <c r="Q5" s="22">
        <f>SUM(Table5[% of units])</f>
        <v>0.99999999999999989</v>
      </c>
    </row>
    <row r="6" spans="1:17" x14ac:dyDescent="0.2">
      <c r="A6" s="27">
        <v>502</v>
      </c>
      <c r="B6" s="36">
        <v>3007700</v>
      </c>
      <c r="C6" s="32">
        <v>0.64991121730611212</v>
      </c>
      <c r="D6" s="37" t="str">
        <f t="shared" si="1"/>
        <v>A</v>
      </c>
      <c r="E6" s="10">
        <f>_xlfn.XLOOKUP(A6,'ABC Analysis'!$G:$G,'ABC Analysis'!H:H,,0)</f>
        <v>60154</v>
      </c>
      <c r="F6" s="32">
        <f>_xlfn.XLOOKUP(A6,'ABC Analysis'!G:G,'ABC Analysis'!J:J,,0)</f>
        <v>0.36364825998223649</v>
      </c>
      <c r="G6" s="12" t="str">
        <f>_xlfn.LET(_xlpm.prev,Table3[[#This Row],[Units cum %]]-Table3[[#This Row],[Units]]/SUM(Table3[Units]),IF(_xlpm.prev&lt;0.88,"A",IF(_xlpm.prev&lt;0.987,"B","C")))</f>
        <v>A</v>
      </c>
      <c r="H6" s="10">
        <f>ABS(CODE(Table3[[#This Row],[Rev class]])-CODE(Table3[[#This Row],[Units class]]))</f>
        <v>0</v>
      </c>
      <c r="I6" s="39"/>
      <c r="J6" s="39"/>
      <c r="M6" s="30"/>
      <c r="N6" s="36"/>
    </row>
    <row r="7" spans="1:17" x14ac:dyDescent="0.2">
      <c r="A7" s="27">
        <v>1073</v>
      </c>
      <c r="B7" s="36">
        <v>2962851.9314827612</v>
      </c>
      <c r="C7" s="32">
        <v>0.74027444056422109</v>
      </c>
      <c r="D7" s="37" t="str">
        <f t="shared" si="1"/>
        <v>A</v>
      </c>
      <c r="E7" s="10">
        <f>_xlfn.XLOOKUP(A7,'ABC Analysis'!$G:$G,'ABC Analysis'!H:H,,0)</f>
        <v>14815</v>
      </c>
      <c r="F7" s="32">
        <f>_xlfn.XLOOKUP(A7,'ABC Analysis'!G:G,'ABC Analysis'!J:J,,0)</f>
        <v>0.84605596901685309</v>
      </c>
      <c r="G7" s="12" t="str">
        <f>_xlfn.LET(_xlpm.prev,Table3[[#This Row],[Units cum %]]-Table3[[#This Row],[Units]]/SUM(Table3[Units]),IF(_xlpm.prev&lt;0.88,"A",IF(_xlpm.prev&lt;0.987,"B","C")))</f>
        <v>A</v>
      </c>
      <c r="H7" s="10">
        <f>ABS(CODE(Table3[[#This Row],[Rev class]])-CODE(Table3[[#This Row],[Units class]]))</f>
        <v>0</v>
      </c>
      <c r="I7" s="39"/>
      <c r="J7" s="39"/>
      <c r="M7" s="30"/>
      <c r="N7" s="30"/>
    </row>
    <row r="8" spans="1:17" x14ac:dyDescent="0.2">
      <c r="A8" s="27">
        <v>1014</v>
      </c>
      <c r="B8" s="36">
        <v>2762144.6747190719</v>
      </c>
      <c r="C8" s="32">
        <v>0.82451634724226619</v>
      </c>
      <c r="D8" s="37" t="str">
        <f t="shared" si="1"/>
        <v>A</v>
      </c>
      <c r="E8" s="10">
        <f>_xlfn.XLOOKUP(A8,'ABC Analysis'!$G:$G,'ABC Analysis'!H:H,,0)</f>
        <v>55265</v>
      </c>
      <c r="F8" s="32">
        <f>_xlfn.XLOOKUP(A8,'ABC Analysis'!G:G,'ABC Analysis'!J:J,,0)</f>
        <v>0.51751990043517848</v>
      </c>
      <c r="G8" s="12" t="str">
        <f>_xlfn.LET(_xlpm.prev,Table3[[#This Row],[Units cum %]]-Table3[[#This Row],[Units]]/SUM(Table3[Units]),IF(_xlpm.prev&lt;0.88,"A",IF(_xlpm.prev&lt;0.987,"B","C")))</f>
        <v>A</v>
      </c>
      <c r="H8" s="10">
        <f>ABS(CODE(Table3[[#This Row],[Rev class]])-CODE(Table3[[#This Row],[Units class]]))</f>
        <v>0</v>
      </c>
      <c r="I8" s="39"/>
      <c r="J8" s="39"/>
    </row>
    <row r="9" spans="1:17" x14ac:dyDescent="0.2">
      <c r="A9" s="27">
        <v>403</v>
      </c>
      <c r="B9" s="36">
        <v>2760077.7867816691</v>
      </c>
      <c r="C9" s="32">
        <v>0.90869521646165441</v>
      </c>
      <c r="D9" s="37" t="str">
        <f t="shared" si="1"/>
        <v>A</v>
      </c>
      <c r="E9" s="10">
        <f>_xlfn.XLOOKUP(A9,'ABC Analysis'!$G:$G,'ABC Analysis'!H:H,,0)</f>
        <v>21233</v>
      </c>
      <c r="F9" s="32">
        <f>_xlfn.XLOOKUP(A9,'ABC Analysis'!G:G,'ABC Analysis'!J:J,,0)</f>
        <v>0.75864440379437748</v>
      </c>
      <c r="G9" s="12" t="str">
        <f>_xlfn.LET(_xlpm.prev,Table3[[#This Row],[Units cum %]]-Table3[[#This Row],[Units]]/SUM(Table3[Units]),IF(_xlpm.prev&lt;0.88,"A",IF(_xlpm.prev&lt;0.987,"B","C")))</f>
        <v>A</v>
      </c>
      <c r="H9" s="10">
        <f>ABS(CODE(Table3[[#This Row],[Rev class]])-CODE(Table3[[#This Row],[Units class]]))</f>
        <v>0</v>
      </c>
    </row>
    <row r="10" spans="1:17" x14ac:dyDescent="0.2">
      <c r="A10" s="27">
        <v>627</v>
      </c>
      <c r="B10" s="36">
        <v>1213896.470111009</v>
      </c>
      <c r="C10" s="32">
        <v>0.9457175180405174</v>
      </c>
      <c r="D10" s="37" t="str">
        <f t="shared" si="1"/>
        <v>A</v>
      </c>
      <c r="E10" s="10">
        <f>_xlfn.XLOOKUP(A10,'ABC Analysis'!$G:$G,'ABC Analysis'!H:H,,0)</f>
        <v>30355</v>
      </c>
      <c r="F10" s="32">
        <f>_xlfn.XLOOKUP(A10,'ABC Analysis'!G:G,'ABC Analysis'!J:J,,0)</f>
        <v>0.69952639887738988</v>
      </c>
      <c r="G10" s="12" t="str">
        <f>_xlfn.LET(_xlpm.prev,Table3[[#This Row],[Units cum %]]-Table3[[#This Row],[Units]]/SUM(Table3[Units]),IF(_xlpm.prev&lt;0.88,"A",IF(_xlpm.prev&lt;0.987,"B","C")))</f>
        <v>A</v>
      </c>
      <c r="H10" s="10">
        <f>ABS(CODE(Table3[[#This Row],[Rev class]])-CODE(Table3[[#This Row],[Units class]]))</f>
        <v>0</v>
      </c>
    </row>
    <row r="11" spans="1:17" x14ac:dyDescent="0.2">
      <c r="A11" s="27">
        <v>565</v>
      </c>
      <c r="B11" s="36">
        <v>63490</v>
      </c>
      <c r="C11" s="32">
        <v>0.94765388245471416</v>
      </c>
      <c r="D11" s="37" t="str">
        <f t="shared" si="1"/>
        <v>B</v>
      </c>
      <c r="E11" s="10">
        <f>_xlfn.XLOOKUP(A11,'ABC Analysis'!$G:$G,'ABC Analysis'!H:H,,0)</f>
        <v>907</v>
      </c>
      <c r="F11" s="32">
        <f>_xlfn.XLOOKUP(A11,'ABC Analysis'!G:G,'ABC Analysis'!J:J,,0)</f>
        <v>0.89561563969562563</v>
      </c>
      <c r="G11" s="12" t="str">
        <f>_xlfn.LET(_xlpm.prev,Table3[[#This Row],[Units cum %]]-Table3[[#This Row],[Units]]/SUM(Table3[Units]),IF(_xlpm.prev&lt;0.88,"A",IF(_xlpm.prev&lt;0.987,"B","C")))</f>
        <v>B</v>
      </c>
      <c r="H11" s="10">
        <f>ABS(CODE(Table3[[#This Row],[Rev class]])-CODE(Table3[[#This Row],[Units class]]))</f>
        <v>0</v>
      </c>
      <c r="M11" s="36"/>
    </row>
    <row r="12" spans="1:17" x14ac:dyDescent="0.2">
      <c r="A12" s="27">
        <v>728</v>
      </c>
      <c r="B12" s="36">
        <v>58695</v>
      </c>
      <c r="C12" s="32">
        <v>0.94944400545504926</v>
      </c>
      <c r="D12" s="37" t="str">
        <f t="shared" si="1"/>
        <v>B</v>
      </c>
      <c r="E12" s="10">
        <f>_xlfn.XLOOKUP(A12,'ABC Analysis'!$G:$G,'ABC Analysis'!H:H,,0)</f>
        <v>903</v>
      </c>
      <c r="F12" s="32">
        <f>_xlfn.XLOOKUP(A12,'ABC Analysis'!G:G,'ABC Analysis'!J:J,,0)</f>
        <v>0.89812981849466678</v>
      </c>
      <c r="G12" s="12" t="str">
        <f>_xlfn.LET(_xlpm.prev,Table3[[#This Row],[Units cum %]]-Table3[[#This Row],[Units]]/SUM(Table3[Units]),IF(_xlpm.prev&lt;0.88,"A",IF(_xlpm.prev&lt;0.987,"B","C")))</f>
        <v>B</v>
      </c>
      <c r="H12" s="10">
        <f>ABS(CODE(Table3[[#This Row],[Rev class]])-CODE(Table3[[#This Row],[Units class]]))</f>
        <v>0</v>
      </c>
      <c r="M12" s="30"/>
    </row>
    <row r="13" spans="1:17" x14ac:dyDescent="0.2">
      <c r="A13" s="27">
        <v>44</v>
      </c>
      <c r="B13" s="36">
        <v>54710.881591880068</v>
      </c>
      <c r="C13" s="32">
        <v>0.95111261790084933</v>
      </c>
      <c r="D13" s="37" t="str">
        <f t="shared" si="1"/>
        <v>B</v>
      </c>
      <c r="E13" s="10">
        <f>_xlfn.XLOOKUP(A13,'ABC Analysis'!$G:$G,'ABC Analysis'!H:H,,0)</f>
        <v>912</v>
      </c>
      <c r="F13" s="32">
        <f>_xlfn.XLOOKUP(A13,'ABC Analysis'!G:G,'ABC Analysis'!J:J,,0)</f>
        <v>0.89309032389193765</v>
      </c>
      <c r="G13" s="12" t="str">
        <f>_xlfn.LET(_xlpm.prev,Table3[[#This Row],[Units cum %]]-Table3[[#This Row],[Units]]/SUM(Table3[Units]),IF(_xlpm.prev&lt;0.88,"A",IF(_xlpm.prev&lt;0.987,"B","C")))</f>
        <v>B</v>
      </c>
      <c r="H13" s="10">
        <f>ABS(CODE(Table3[[#This Row],[Rev class]])-CODE(Table3[[#This Row],[Units class]]))</f>
        <v>0</v>
      </c>
    </row>
    <row r="14" spans="1:17" x14ac:dyDescent="0.2">
      <c r="A14" s="27">
        <v>823</v>
      </c>
      <c r="B14" s="36">
        <v>45543.241424499996</v>
      </c>
      <c r="C14" s="32">
        <v>0.95250162895773349</v>
      </c>
      <c r="D14" s="37" t="str">
        <f t="shared" si="1"/>
        <v>B</v>
      </c>
      <c r="E14" s="10">
        <f>_xlfn.XLOOKUP(A14,'ABC Analysis'!$G:$G,'ABC Analysis'!H:H,,0)</f>
        <v>876</v>
      </c>
      <c r="F14" s="32">
        <f>_xlfn.XLOOKUP(A14,'ABC Analysis'!G:G,'ABC Analysis'!J:J,,0)</f>
        <v>0.91296152443319611</v>
      </c>
      <c r="G14" s="12" t="str">
        <f>_xlfn.LET(_xlpm.prev,Table3[[#This Row],[Units cum %]]-Table3[[#This Row],[Units]]/SUM(Table3[Units]),IF(_xlpm.prev&lt;0.88,"A",IF(_xlpm.prev&lt;0.987,"B","C")))</f>
        <v>B</v>
      </c>
      <c r="H14" s="10">
        <f>ABS(CODE(Table3[[#This Row],[Rev class]])-CODE(Table3[[#This Row],[Units class]]))</f>
        <v>0</v>
      </c>
    </row>
    <row r="15" spans="1:17" x14ac:dyDescent="0.2">
      <c r="A15" s="27">
        <v>249</v>
      </c>
      <c r="B15" s="36">
        <v>44195.880981879956</v>
      </c>
      <c r="C15" s="32">
        <v>0.95384954723127879</v>
      </c>
      <c r="D15" s="37" t="str">
        <f t="shared" si="1"/>
        <v>B</v>
      </c>
      <c r="E15" s="10">
        <f>_xlfn.XLOOKUP(A15,'ABC Analysis'!$G:$G,'ABC Analysis'!H:H,,0)</f>
        <v>804</v>
      </c>
      <c r="F15" s="32">
        <f>_xlfn.XLOOKUP(A15,'ABC Analysis'!G:G,'ABC Analysis'!J:J,,0)</f>
        <v>0.96912543886758939</v>
      </c>
      <c r="G15" s="12" t="str">
        <f>_xlfn.LET(_xlpm.prev,Table3[[#This Row],[Units cum %]]-Table3[[#This Row],[Units]]/SUM(Table3[Units]),IF(_xlpm.prev&lt;0.88,"A",IF(_xlpm.prev&lt;0.987,"B","C")))</f>
        <v>B</v>
      </c>
      <c r="H15" s="10">
        <f>ABS(CODE(Table3[[#This Row],[Rev class]])-CODE(Table3[[#This Row],[Units class]]))</f>
        <v>0</v>
      </c>
    </row>
    <row r="16" spans="1:17" x14ac:dyDescent="0.2">
      <c r="A16" s="27">
        <v>116</v>
      </c>
      <c r="B16" s="36">
        <v>42920.460585239998</v>
      </c>
      <c r="C16" s="32">
        <v>0.9551585668015764</v>
      </c>
      <c r="D16" s="37" t="str">
        <f t="shared" si="1"/>
        <v>B</v>
      </c>
      <c r="E16" s="10">
        <f>_xlfn.XLOOKUP(A16,'ABC Analysis'!$G:$G,'ABC Analysis'!H:H,,0)</f>
        <v>954</v>
      </c>
      <c r="F16" s="32">
        <f>_xlfn.XLOOKUP(A16,'ABC Analysis'!G:G,'ABC Analysis'!J:J,,0)</f>
        <v>0.88798957576365045</v>
      </c>
      <c r="G16" s="12" t="str">
        <f>_xlfn.LET(_xlpm.prev,Table3[[#This Row],[Units cum %]]-Table3[[#This Row],[Units]]/SUM(Table3[Units]),IF(_xlpm.prev&lt;0.88,"A",IF(_xlpm.prev&lt;0.987,"B","C")))</f>
        <v>B</v>
      </c>
      <c r="H16" s="10">
        <f>ABS(CODE(Table3[[#This Row],[Rev class]])-CODE(Table3[[#This Row],[Units class]]))</f>
        <v>0</v>
      </c>
    </row>
    <row r="17" spans="1:8" x14ac:dyDescent="0.2">
      <c r="A17" s="27">
        <v>821</v>
      </c>
      <c r="B17" s="36">
        <v>42631.801338259989</v>
      </c>
      <c r="C17" s="32">
        <v>0.95645878263122686</v>
      </c>
      <c r="D17" s="37" t="str">
        <f t="shared" si="1"/>
        <v>B</v>
      </c>
      <c r="E17" s="10">
        <f>_xlfn.XLOOKUP(A17,'ABC Analysis'!$G:$G,'ABC Analysis'!H:H,,0)</f>
        <v>820</v>
      </c>
      <c r="F17" s="32">
        <f>_xlfn.XLOOKUP(A17,'ABC Analysis'!G:G,'ABC Analysis'!J:J,,0)</f>
        <v>0.95782973190445564</v>
      </c>
      <c r="G17" s="12" t="str">
        <f>_xlfn.LET(_xlpm.prev,Table3[[#This Row],[Units cum %]]-Table3[[#This Row],[Units]]/SUM(Table3[Units]),IF(_xlpm.prev&lt;0.88,"A",IF(_xlpm.prev&lt;0.987,"B","C")))</f>
        <v>B</v>
      </c>
      <c r="H17" s="10">
        <f>ABS(CODE(Table3[[#This Row],[Rev class]])-CODE(Table3[[#This Row],[Units class]]))</f>
        <v>0</v>
      </c>
    </row>
    <row r="18" spans="1:8" x14ac:dyDescent="0.2">
      <c r="A18" s="27">
        <v>818</v>
      </c>
      <c r="B18" s="36">
        <v>40743.510516419978</v>
      </c>
      <c r="C18" s="32">
        <v>0.95770140798755776</v>
      </c>
      <c r="D18" s="37" t="str">
        <f t="shared" si="1"/>
        <v>B</v>
      </c>
      <c r="E18" s="10">
        <f>_xlfn.XLOOKUP(A18,'ABC Analysis'!$G:$G,'ABC Analysis'!H:H,,0)</f>
        <v>849</v>
      </c>
      <c r="F18" s="32">
        <f>_xlfn.XLOOKUP(A18,'ABC Analysis'!G:G,'ABC Analysis'!J:J,,0)</f>
        <v>0.93222575822119758</v>
      </c>
      <c r="G18" s="12" t="str">
        <f>_xlfn.LET(_xlpm.prev,Table3[[#This Row],[Units cum %]]-Table3[[#This Row],[Units]]/SUM(Table3[Units]),IF(_xlpm.prev&lt;0.88,"A",IF(_xlpm.prev&lt;0.987,"B","C")))</f>
        <v>B</v>
      </c>
      <c r="H18" s="10">
        <f>ABS(CODE(Table3[[#This Row],[Rev class]])-CODE(Table3[[#This Row],[Units class]]))</f>
        <v>0</v>
      </c>
    </row>
    <row r="19" spans="1:8" x14ac:dyDescent="0.2">
      <c r="A19" s="27">
        <v>822</v>
      </c>
      <c r="B19" s="36">
        <v>37288.230522059959</v>
      </c>
      <c r="C19" s="32">
        <v>0.9588386516897357</v>
      </c>
      <c r="D19" s="37" t="str">
        <f t="shared" si="1"/>
        <v>B</v>
      </c>
      <c r="E19" s="10">
        <f>_xlfn.XLOOKUP(A19,'ABC Analysis'!$G:$G,'ABC Analysis'!H:H,,0)</f>
        <v>777</v>
      </c>
      <c r="F19" s="32">
        <f>_xlfn.XLOOKUP(A19,'ABC Analysis'!G:G,'ABC Analysis'!J:J,,0)</f>
        <v>0.97569627160926931</v>
      </c>
      <c r="G19" s="12" t="str">
        <f>_xlfn.LET(_xlpm.prev,Table3[[#This Row],[Units cum %]]-Table3[[#This Row],[Units]]/SUM(Table3[Units]),IF(_xlpm.prev&lt;0.88,"A",IF(_xlpm.prev&lt;0.987,"B","C")))</f>
        <v>B</v>
      </c>
      <c r="H19" s="10">
        <f>ABS(CODE(Table3[[#This Row],[Rev class]])-CODE(Table3[[#This Row],[Units class]]))</f>
        <v>0</v>
      </c>
    </row>
    <row r="20" spans="1:8" x14ac:dyDescent="0.2">
      <c r="A20" s="27">
        <v>278</v>
      </c>
      <c r="B20" s="36">
        <v>34867.250537699925</v>
      </c>
      <c r="C20" s="32">
        <v>0.95990205857526234</v>
      </c>
      <c r="D20" s="37" t="str">
        <f t="shared" si="1"/>
        <v>B</v>
      </c>
      <c r="E20" s="10">
        <f>_xlfn.XLOOKUP(A20,'ABC Analysis'!$G:$G,'ABC Analysis'!H:H,,0)</f>
        <v>775</v>
      </c>
      <c r="F20" s="32">
        <f>_xlfn.XLOOKUP(A20,'ABC Analysis'!G:G,'ABC Analysis'!J:J,,0)</f>
        <v>0.97785406625960913</v>
      </c>
      <c r="G20" s="12" t="str">
        <f>_xlfn.LET(_xlpm.prev,Table3[[#This Row],[Units cum %]]-Table3[[#This Row],[Units]]/SUM(Table3[Units]),IF(_xlpm.prev&lt;0.88,"A",IF(_xlpm.prev&lt;0.987,"B","C")))</f>
        <v>B</v>
      </c>
      <c r="H20" s="10">
        <f>ABS(CODE(Table3[[#This Row],[Rev class]])-CODE(Table3[[#This Row],[Units class]]))</f>
        <v>0</v>
      </c>
    </row>
    <row r="21" spans="1:8" x14ac:dyDescent="0.2">
      <c r="A21" s="27">
        <v>572</v>
      </c>
      <c r="B21" s="36">
        <v>33551.610618239894</v>
      </c>
      <c r="C21" s="32">
        <v>0.96092534011314468</v>
      </c>
      <c r="D21" s="37" t="str">
        <f t="shared" si="1"/>
        <v>B</v>
      </c>
      <c r="E21" s="10">
        <f>_xlfn.XLOOKUP(A21,'ABC Analysis'!$G:$G,'ABC Analysis'!H:H,,0)</f>
        <v>839</v>
      </c>
      <c r="F21" s="32">
        <f>_xlfn.XLOOKUP(A21,'ABC Analysis'!G:G,'ABC Analysis'!J:J,,0)</f>
        <v>0.94399478788182523</v>
      </c>
      <c r="G21" s="12" t="str">
        <f>_xlfn.LET(_xlpm.prev,Table3[[#This Row],[Units cum %]]-Table3[[#This Row],[Units]]/SUM(Table3[Units]),IF(_xlpm.prev&lt;0.88,"A",IF(_xlpm.prev&lt;0.987,"B","C")))</f>
        <v>B</v>
      </c>
      <c r="H21" s="10">
        <f>ABS(CODE(Table3[[#This Row],[Rev class]])-CODE(Table3[[#This Row],[Units class]]))</f>
        <v>0</v>
      </c>
    </row>
    <row r="22" spans="1:8" x14ac:dyDescent="0.2">
      <c r="A22" s="27">
        <v>771</v>
      </c>
      <c r="B22" s="36">
        <v>33071.730452779921</v>
      </c>
      <c r="C22" s="32">
        <v>0.96193398591507684</v>
      </c>
      <c r="D22" s="37" t="str">
        <f t="shared" si="1"/>
        <v>B</v>
      </c>
      <c r="E22" s="10">
        <f>_xlfn.XLOOKUP(A22,'ABC Analysis'!$G:$G,'ABC Analysis'!H:H,,0)</f>
        <v>827</v>
      </c>
      <c r="F22" s="32">
        <f>_xlfn.XLOOKUP(A22,'ABC Analysis'!G:G,'ABC Analysis'!J:J,,0)</f>
        <v>0.95094706303266208</v>
      </c>
      <c r="G22" s="12" t="str">
        <f>_xlfn.LET(_xlpm.prev,Table3[[#This Row],[Units cum %]]-Table3[[#This Row],[Units]]/SUM(Table3[Units]),IF(_xlpm.prev&lt;0.88,"A",IF(_xlpm.prev&lt;0.987,"B","C")))</f>
        <v>B</v>
      </c>
      <c r="H22" s="10">
        <f>ABS(CODE(Table3[[#This Row],[Rev class]])-CODE(Table3[[#This Row],[Units class]]))</f>
        <v>0</v>
      </c>
    </row>
    <row r="23" spans="1:8" x14ac:dyDescent="0.2">
      <c r="A23" s="27">
        <v>977</v>
      </c>
      <c r="B23" s="36">
        <v>28940.34974591</v>
      </c>
      <c r="C23" s="32">
        <v>0.96281662984927729</v>
      </c>
      <c r="D23" s="37" t="str">
        <f t="shared" si="1"/>
        <v>B</v>
      </c>
      <c r="E23" s="10">
        <f>_xlfn.XLOOKUP(A23,'ABC Analysis'!$G:$G,'ABC Analysis'!H:H,,0)</f>
        <v>965</v>
      </c>
      <c r="F23" s="32">
        <f>_xlfn.XLOOKUP(A23,'ABC Analysis'!G:G,'ABC Analysis'!J:J,,0)</f>
        <v>0.88533340015536122</v>
      </c>
      <c r="G23" s="12" t="str">
        <f>_xlfn.LET(_xlpm.prev,Table3[[#This Row],[Units cum %]]-Table3[[#This Row],[Units]]/SUM(Table3[Units]),IF(_xlpm.prev&lt;0.88,"A",IF(_xlpm.prev&lt;0.987,"B","C")))</f>
        <v>B</v>
      </c>
      <c r="H23" s="10">
        <f>ABS(CODE(Table3[[#This Row],[Rev class]])-CODE(Table3[[#This Row],[Units class]]))</f>
        <v>0</v>
      </c>
    </row>
    <row r="24" spans="1:8" x14ac:dyDescent="0.2">
      <c r="A24" s="27">
        <v>235</v>
      </c>
      <c r="B24" s="36">
        <v>28481.860603219931</v>
      </c>
      <c r="C24" s="32">
        <v>0.96368529044657114</v>
      </c>
      <c r="D24" s="37" t="str">
        <f t="shared" si="1"/>
        <v>B</v>
      </c>
      <c r="E24" s="10">
        <f>_xlfn.XLOOKUP(A24,'ABC Analysis'!$G:$G,'ABC Analysis'!H:H,,0)</f>
        <v>814</v>
      </c>
      <c r="F24" s="32">
        <f>_xlfn.XLOOKUP(A24,'ABC Analysis'!G:G,'ABC Analysis'!J:J,,0)</f>
        <v>0.96237641405155872</v>
      </c>
      <c r="G24" s="12" t="str">
        <f>_xlfn.LET(_xlpm.prev,Table3[[#This Row],[Units cum %]]-Table3[[#This Row],[Units]]/SUM(Table3[Units]),IF(_xlpm.prev&lt;0.88,"A",IF(_xlpm.prev&lt;0.987,"B","C")))</f>
        <v>B</v>
      </c>
      <c r="H24" s="10">
        <f>ABS(CODE(Table3[[#This Row],[Rev class]])-CODE(Table3[[#This Row],[Units class]]))</f>
        <v>0</v>
      </c>
    </row>
    <row r="25" spans="1:8" x14ac:dyDescent="0.2">
      <c r="A25" s="27">
        <v>835</v>
      </c>
      <c r="B25" s="36">
        <v>28375.129797059992</v>
      </c>
      <c r="C25" s="32">
        <v>0.96455069588974718</v>
      </c>
      <c r="D25" s="37" t="str">
        <f t="shared" si="1"/>
        <v>B</v>
      </c>
      <c r="E25" s="10">
        <f>_xlfn.XLOOKUP(A25,'ABC Analysis'!$G:$G,'ABC Analysis'!H:H,,0)</f>
        <v>887</v>
      </c>
      <c r="F25" s="32">
        <f>_xlfn.XLOOKUP(A25,'ABC Analysis'!G:G,'ABC Analysis'!J:J,,0)</f>
        <v>0.90807516364436203</v>
      </c>
      <c r="G25" s="12" t="str">
        <f>_xlfn.LET(_xlpm.prev,Table3[[#This Row],[Units cum %]]-Table3[[#This Row],[Units]]/SUM(Table3[Units]),IF(_xlpm.prev&lt;0.88,"A",IF(_xlpm.prev&lt;0.987,"B","C")))</f>
        <v>B</v>
      </c>
      <c r="H25" s="10">
        <f>ABS(CODE(Table3[[#This Row],[Rev class]])-CODE(Table3[[#This Row],[Units class]]))</f>
        <v>0</v>
      </c>
    </row>
    <row r="26" spans="1:8" x14ac:dyDescent="0.2">
      <c r="A26" s="27">
        <v>828</v>
      </c>
      <c r="B26" s="36">
        <v>28023.239834149994</v>
      </c>
      <c r="C26" s="32">
        <v>0.96540536913569686</v>
      </c>
      <c r="D26" s="37" t="str">
        <f t="shared" si="1"/>
        <v>B</v>
      </c>
      <c r="E26" s="10">
        <f>_xlfn.XLOOKUP(A26,'ABC Analysis'!$G:$G,'ABC Analysis'!H:H,,0)</f>
        <v>876</v>
      </c>
      <c r="F26" s="32">
        <f>_xlfn.XLOOKUP(A26,'ABC Analysis'!G:G,'ABC Analysis'!J:J,,0)</f>
        <v>0.91783953246854488</v>
      </c>
      <c r="G26" s="12" t="str">
        <f>_xlfn.LET(_xlpm.prev,Table3[[#This Row],[Units cum %]]-Table3[[#This Row],[Units]]/SUM(Table3[Units]),IF(_xlpm.prev&lt;0.88,"A",IF(_xlpm.prev&lt;0.987,"B","C")))</f>
        <v>B</v>
      </c>
      <c r="H26" s="10">
        <f>ABS(CODE(Table3[[#This Row],[Rev class]])-CODE(Table3[[#This Row],[Units class]]))</f>
        <v>0</v>
      </c>
    </row>
    <row r="27" spans="1:8" x14ac:dyDescent="0.2">
      <c r="A27" s="27">
        <v>276</v>
      </c>
      <c r="B27" s="36">
        <v>27799.309791789998</v>
      </c>
      <c r="C27" s="32">
        <v>0.96625321279958165</v>
      </c>
      <c r="D27" s="37" t="str">
        <f t="shared" si="1"/>
        <v>B</v>
      </c>
      <c r="E27" s="10">
        <f>_xlfn.XLOOKUP(A27,'ABC Analysis'!$G:$G,'ABC Analysis'!H:H,,0)</f>
        <v>869</v>
      </c>
      <c r="F27" s="32">
        <f>_xlfn.XLOOKUP(A27,'ABC Analysis'!G:G,'ABC Analysis'!J:J,,0)</f>
        <v>0.92268412948995304</v>
      </c>
      <c r="G27" s="12" t="str">
        <f>_xlfn.LET(_xlpm.prev,Table3[[#This Row],[Units cum %]]-Table3[[#This Row],[Units]]/SUM(Table3[Units]),IF(_xlpm.prev&lt;0.88,"A",IF(_xlpm.prev&lt;0.987,"B","C")))</f>
        <v>B</v>
      </c>
      <c r="H27" s="10">
        <f>ABS(CODE(Table3[[#This Row],[Rev class]])-CODE(Table3[[#This Row],[Units class]]))</f>
        <v>0</v>
      </c>
    </row>
    <row r="28" spans="1:8" x14ac:dyDescent="0.2">
      <c r="A28" s="27">
        <v>642</v>
      </c>
      <c r="B28" s="36">
        <v>26700</v>
      </c>
      <c r="C28" s="32">
        <v>0.96706752891013537</v>
      </c>
      <c r="D28" s="37" t="str">
        <f t="shared" si="1"/>
        <v>B</v>
      </c>
      <c r="E28" s="10">
        <f>_xlfn.XLOOKUP(A28,'ABC Analysis'!$G:$G,'ABC Analysis'!H:H,,0)</f>
        <v>890</v>
      </c>
      <c r="F28" s="32">
        <f>_xlfn.XLOOKUP(A28,'ABC Analysis'!G:G,'ABC Analysis'!J:J,,0)</f>
        <v>0.90560553286390855</v>
      </c>
      <c r="G28" s="12" t="str">
        <f>_xlfn.LET(_xlpm.prev,Table3[[#This Row],[Units cum %]]-Table3[[#This Row],[Units]]/SUM(Table3[Units]),IF(_xlpm.prev&lt;0.88,"A",IF(_xlpm.prev&lt;0.987,"B","C")))</f>
        <v>B</v>
      </c>
      <c r="H28" s="10">
        <f>ABS(CODE(Table3[[#This Row],[Rev class]])-CODE(Table3[[#This Row],[Units class]]))</f>
        <v>0</v>
      </c>
    </row>
    <row r="29" spans="1:8" x14ac:dyDescent="0.2">
      <c r="A29" s="27">
        <v>282</v>
      </c>
      <c r="B29" s="36">
        <v>26007.869806139981</v>
      </c>
      <c r="C29" s="32">
        <v>0.96786073592827482</v>
      </c>
      <c r="D29" s="37" t="str">
        <f t="shared" si="1"/>
        <v>B</v>
      </c>
      <c r="E29" s="10">
        <f>_xlfn.XLOOKUP(A29,'ABC Analysis'!$G:$G,'ABC Analysis'!H:H,,0)</f>
        <v>813</v>
      </c>
      <c r="F29" s="32">
        <f>_xlfn.XLOOKUP(A29,'ABC Analysis'!G:G,'ABC Analysis'!J:J,,0)</f>
        <v>0.96464001024604429</v>
      </c>
      <c r="G29" s="12" t="str">
        <f>_xlfn.LET(_xlpm.prev,Table3[[#This Row],[Units cum %]]-Table3[[#This Row],[Units]]/SUM(Table3[Units]),IF(_xlpm.prev&lt;0.88,"A",IF(_xlpm.prev&lt;0.987,"B","C")))</f>
        <v>B</v>
      </c>
      <c r="H29" s="10">
        <f>ABS(CODE(Table3[[#This Row],[Rev class]])-CODE(Table3[[#This Row],[Units class]]))</f>
        <v>0</v>
      </c>
    </row>
    <row r="30" spans="1:8" x14ac:dyDescent="0.2">
      <c r="A30" s="27">
        <v>37</v>
      </c>
      <c r="B30" s="36">
        <v>25892.600521179953</v>
      </c>
      <c r="C30" s="32">
        <v>0.96865042737953055</v>
      </c>
      <c r="D30" s="37" t="str">
        <f t="shared" si="1"/>
        <v>B</v>
      </c>
      <c r="E30" s="10">
        <f>_xlfn.XLOOKUP(A30,'ABC Analysis'!$G:$G,'ABC Analysis'!H:H,,0)</f>
        <v>740</v>
      </c>
      <c r="F30" s="32">
        <f>_xlfn.XLOOKUP(A30,'ABC Analysis'!G:G,'ABC Analysis'!J:J,,0)</f>
        <v>0.98834790888816504</v>
      </c>
      <c r="G30" s="12" t="str">
        <f>_xlfn.LET(_xlpm.prev,Table3[[#This Row],[Units cum %]]-Table3[[#This Row],[Units]]/SUM(Table3[Units]),IF(_xlpm.prev&lt;0.88,"A",IF(_xlpm.prev&lt;0.987,"B","C")))</f>
        <v>B</v>
      </c>
      <c r="H30" s="10">
        <f>ABS(CODE(Table3[[#This Row],[Rev class]])-CODE(Table3[[#This Row],[Units class]]))</f>
        <v>0</v>
      </c>
    </row>
    <row r="31" spans="1:8" x14ac:dyDescent="0.2">
      <c r="A31" s="27">
        <v>172</v>
      </c>
      <c r="B31" s="36">
        <v>25740</v>
      </c>
      <c r="C31" s="32">
        <v>0.96943546470858122</v>
      </c>
      <c r="D31" s="37" t="str">
        <f t="shared" si="1"/>
        <v>B</v>
      </c>
      <c r="E31" s="10">
        <f>_xlfn.XLOOKUP(A31,'ABC Analysis'!$G:$G,'ABC Analysis'!H:H,,0)</f>
        <v>858</v>
      </c>
      <c r="F31" s="32">
        <f>_xlfn.XLOOKUP(A31,'ABC Analysis'!G:G,'ABC Analysis'!J:J,,0)</f>
        <v>0.9274813942416118</v>
      </c>
      <c r="G31" s="12" t="str">
        <f>_xlfn.LET(_xlpm.prev,Table3[[#This Row],[Units cum %]]-Table3[[#This Row],[Units]]/SUM(Table3[Units]),IF(_xlpm.prev&lt;0.88,"A",IF(_xlpm.prev&lt;0.987,"B","C")))</f>
        <v>B</v>
      </c>
      <c r="H31" s="10">
        <f>ABS(CODE(Table3[[#This Row],[Rev class]])-CODE(Table3[[#This Row],[Units class]]))</f>
        <v>0</v>
      </c>
    </row>
    <row r="32" spans="1:8" x14ac:dyDescent="0.2">
      <c r="A32" s="27">
        <v>564</v>
      </c>
      <c r="B32" s="36">
        <v>25470</v>
      </c>
      <c r="C32" s="32">
        <v>0.97021226738033406</v>
      </c>
      <c r="D32" s="37" t="str">
        <f t="shared" si="1"/>
        <v>B</v>
      </c>
      <c r="E32" s="10">
        <f>_xlfn.XLOOKUP(A32,'ABC Analysis'!$G:$G,'ABC Analysis'!H:H,,0)</f>
        <v>849</v>
      </c>
      <c r="F32" s="32">
        <f>_xlfn.XLOOKUP(A32,'ABC Analysis'!G:G,'ABC Analysis'!J:J,,0)</f>
        <v>0.93458958745750542</v>
      </c>
      <c r="G32" s="12" t="str">
        <f>_xlfn.LET(_xlpm.prev,Table3[[#This Row],[Units cum %]]-Table3[[#This Row],[Units]]/SUM(Table3[Units]),IF(_xlpm.prev&lt;0.88,"A",IF(_xlpm.prev&lt;0.987,"B","C")))</f>
        <v>B</v>
      </c>
      <c r="H32" s="10">
        <f>ABS(CODE(Table3[[#This Row],[Rev class]])-CODE(Table3[[#This Row],[Units class]]))</f>
        <v>0</v>
      </c>
    </row>
    <row r="33" spans="1:19" x14ac:dyDescent="0.2">
      <c r="A33" s="27">
        <v>825</v>
      </c>
      <c r="B33" s="36">
        <v>24312.399774079993</v>
      </c>
      <c r="C33" s="32">
        <v>0.9709537647145009</v>
      </c>
      <c r="D33" s="37" t="str">
        <f t="shared" si="1"/>
        <v>B</v>
      </c>
      <c r="E33" s="10">
        <f>_xlfn.XLOOKUP(A33,'ABC Analysis'!$G:$G,'ABC Analysis'!H:H,,0)</f>
        <v>760</v>
      </c>
      <c r="F33" s="32">
        <f>_xlfn.XLOOKUP(A33,'ABC Analysis'!G:G,'ABC Analysis'!J:J,,0)</f>
        <v>0.98210840203473071</v>
      </c>
      <c r="G33" s="12" t="str">
        <f>_xlfn.LET(_xlpm.prev,Table3[[#This Row],[Units cum %]]-Table3[[#This Row],[Units]]/SUM(Table3[Units]),IF(_xlpm.prev&lt;0.88,"A",IF(_xlpm.prev&lt;0.987,"B","C")))</f>
        <v>B</v>
      </c>
      <c r="H33" s="10">
        <f>ABS(CODE(Table3[[#This Row],[Rev class]])-CODE(Table3[[#This Row],[Units class]]))</f>
        <v>0</v>
      </c>
    </row>
    <row r="34" spans="1:19" x14ac:dyDescent="0.2">
      <c r="A34" s="27">
        <v>885</v>
      </c>
      <c r="B34" s="36">
        <v>22990.799783970018</v>
      </c>
      <c r="C34" s="32">
        <v>0.9716549549264335</v>
      </c>
      <c r="D34" s="37" t="str">
        <f t="shared" si="1"/>
        <v>B</v>
      </c>
      <c r="E34" s="10">
        <f>_xlfn.XLOOKUP(A34,'ABC Analysis'!$G:$G,'ABC Analysis'!H:H,,0)</f>
        <v>920</v>
      </c>
      <c r="F34" s="32">
        <f>_xlfn.XLOOKUP(A34,'ABC Analysis'!G:G,'ABC Analysis'!J:J,,0)</f>
        <v>0.890551086832441</v>
      </c>
      <c r="G34" s="12" t="str">
        <f>_xlfn.LET(_xlpm.prev,Table3[[#This Row],[Units cum %]]-Table3[[#This Row],[Units]]/SUM(Table3[Units]),IF(_xlpm.prev&lt;0.88,"A",IF(_xlpm.prev&lt;0.987,"B","C")))</f>
        <v>B</v>
      </c>
      <c r="H34" s="10">
        <f>ABS(CODE(Table3[[#This Row],[Rev class]])-CODE(Table3[[#This Row],[Units class]]))</f>
        <v>0</v>
      </c>
    </row>
    <row r="35" spans="1:19" ht="19" customHeight="1" x14ac:dyDescent="0.2">
      <c r="A35" s="27">
        <v>724</v>
      </c>
      <c r="B35" s="36">
        <v>22000</v>
      </c>
      <c r="C35" s="32">
        <v>0.97232592700254517</v>
      </c>
      <c r="D35" s="37" t="str">
        <f t="shared" si="1"/>
        <v>B</v>
      </c>
      <c r="E35" s="10">
        <f>_xlfn.XLOOKUP(A35,'ABC Analysis'!$G:$G,'ABC Analysis'!H:H,,0)</f>
        <v>220</v>
      </c>
      <c r="F35" s="32">
        <f>_xlfn.XLOOKUP(A35,'ABC Analysis'!G:G,'ABC Analysis'!J:J,,0)</f>
        <v>0.9896008219109429</v>
      </c>
      <c r="G35" s="12" t="str">
        <f>_xlfn.LET(_xlpm.prev,Table3[[#This Row],[Units cum %]]-Table3[[#This Row],[Units]]/SUM(Table3[Units]),IF(_xlpm.prev&lt;0.88,"A",IF(_xlpm.prev&lt;0.987,"B","C")))</f>
        <v>C</v>
      </c>
      <c r="H35" s="10">
        <f>ABS(CODE(Table3[[#This Row],[Rev class]])-CODE(Table3[[#This Row],[Units class]]))</f>
        <v>1</v>
      </c>
      <c r="J35" s="74" t="s">
        <v>346</v>
      </c>
      <c r="K35" s="74"/>
      <c r="L35" s="74"/>
      <c r="M35" s="74"/>
      <c r="N35" s="74"/>
      <c r="O35" s="74"/>
      <c r="P35" s="74"/>
      <c r="Q35" s="74"/>
      <c r="R35" s="74"/>
      <c r="S35" s="74"/>
    </row>
    <row r="36" spans="1:19" x14ac:dyDescent="0.2">
      <c r="A36" s="27">
        <v>893</v>
      </c>
      <c r="B36" s="36">
        <v>21891.239840570022</v>
      </c>
      <c r="C36" s="32">
        <v>0.97299358203183994</v>
      </c>
      <c r="D36" s="37" t="str">
        <f t="shared" si="1"/>
        <v>B</v>
      </c>
      <c r="E36" s="10">
        <f>_xlfn.XLOOKUP(A36,'ABC Analysis'!$G:$G,'ABC Analysis'!H:H,,0)</f>
        <v>876</v>
      </c>
      <c r="F36" s="32">
        <f>_xlfn.XLOOKUP(A36,'ABC Analysis'!G:G,'ABC Analysis'!J:J,,0)</f>
        <v>0.9154005284508705</v>
      </c>
      <c r="G36" s="12" t="str">
        <f>_xlfn.LET(_xlpm.prev,Table3[[#This Row],[Units cum %]]-Table3[[#This Row],[Units]]/SUM(Table3[Units]),IF(_xlpm.prev&lt;0.88,"A",IF(_xlpm.prev&lt;0.987,"B","C")))</f>
        <v>B</v>
      </c>
      <c r="H36" s="10">
        <f>ABS(CODE(Table3[[#This Row],[Rev class]])-CODE(Table3[[#This Row],[Units class]]))</f>
        <v>0</v>
      </c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spans="1:19" ht="19" customHeight="1" x14ac:dyDescent="0.2">
      <c r="A37" s="27">
        <v>906</v>
      </c>
      <c r="B37" s="36">
        <v>21766.289762850021</v>
      </c>
      <c r="C37" s="32">
        <v>0.9736574262423594</v>
      </c>
      <c r="D37" s="37" t="str">
        <f t="shared" si="1"/>
        <v>B</v>
      </c>
      <c r="E37" s="10">
        <f>_xlfn.XLOOKUP(A37,'ABC Analysis'!$G:$G,'ABC Analysis'!H:H,,0)</f>
        <v>871</v>
      </c>
      <c r="F37" s="32">
        <f>_xlfn.XLOOKUP(A37,'ABC Analysis'!G:G,'ABC Analysis'!J:J,,0)</f>
        <v>0.9202646152304107</v>
      </c>
      <c r="G37" s="12" t="str">
        <f>_xlfn.LET(_xlpm.prev,Table3[[#This Row],[Units cum %]]-Table3[[#This Row],[Units]]/SUM(Table3[Units]),IF(_xlpm.prev&lt;0.88,"A",IF(_xlpm.prev&lt;0.987,"B","C")))</f>
        <v>B</v>
      </c>
      <c r="H37" s="10">
        <f>ABS(CODE(Table3[[#This Row],[Rev class]])-CODE(Table3[[#This Row],[Units class]]))</f>
        <v>0</v>
      </c>
      <c r="J37" s="74" t="s">
        <v>347</v>
      </c>
      <c r="K37" s="74"/>
      <c r="L37" s="74"/>
      <c r="M37" s="74"/>
      <c r="N37" s="74"/>
      <c r="O37" s="74"/>
      <c r="P37" s="74"/>
      <c r="Q37" s="74"/>
      <c r="R37" s="74"/>
      <c r="S37" s="74"/>
    </row>
    <row r="38" spans="1:19" x14ac:dyDescent="0.2">
      <c r="A38" s="27">
        <v>273</v>
      </c>
      <c r="B38" s="36">
        <v>21244.409799619985</v>
      </c>
      <c r="C38" s="32">
        <v>0.9743053537764057</v>
      </c>
      <c r="D38" s="37" t="str">
        <f t="shared" si="1"/>
        <v>B</v>
      </c>
      <c r="E38" s="10">
        <f>_xlfn.XLOOKUP(A38,'ABC Analysis'!$G:$G,'ABC Analysis'!H:H,,0)</f>
        <v>759</v>
      </c>
      <c r="F38" s="32">
        <f>_xlfn.XLOOKUP(A38,'ABC Analysis'!G:G,'ABC Analysis'!J:J,,0)</f>
        <v>0.98422164866648287</v>
      </c>
      <c r="G38" s="12" t="str">
        <f>_xlfn.LET(_xlpm.prev,Table3[[#This Row],[Units cum %]]-Table3[[#This Row],[Units]]/SUM(Table3[Units]),IF(_xlpm.prev&lt;0.88,"A",IF(_xlpm.prev&lt;0.987,"B","C")))</f>
        <v>B</v>
      </c>
      <c r="H38" s="10">
        <f>ABS(CODE(Table3[[#This Row],[Rev class]])-CODE(Table3[[#This Row],[Units class]]))</f>
        <v>0</v>
      </c>
      <c r="J38" s="74"/>
      <c r="K38" s="74"/>
      <c r="L38" s="74"/>
      <c r="M38" s="74"/>
      <c r="N38" s="74"/>
      <c r="O38" s="74"/>
      <c r="P38" s="74"/>
      <c r="Q38" s="74"/>
      <c r="R38" s="74"/>
      <c r="S38" s="74"/>
    </row>
    <row r="39" spans="1:19" x14ac:dyDescent="0.2">
      <c r="A39" s="27">
        <v>905</v>
      </c>
      <c r="B39" s="36">
        <v>21141.539847590044</v>
      </c>
      <c r="C39" s="32">
        <v>0.97495014390748458</v>
      </c>
      <c r="D39" s="37" t="str">
        <f t="shared" si="1"/>
        <v>B</v>
      </c>
      <c r="E39" s="10">
        <f>_xlfn.XLOOKUP(A39,'ABC Analysis'!$G:$G,'ABC Analysis'!H:H,,0)</f>
        <v>846</v>
      </c>
      <c r="F39" s="32">
        <f>_xlfn.XLOOKUP(A39,'ABC Analysis'!G:G,'ABC Analysis'!J:J,,0)</f>
        <v>0.93930610892547395</v>
      </c>
      <c r="G39" s="12" t="str">
        <f>_xlfn.LET(_xlpm.prev,Table3[[#This Row],[Units cum %]]-Table3[[#This Row],[Units]]/SUM(Table3[Units]),IF(_xlpm.prev&lt;0.88,"A",IF(_xlpm.prev&lt;0.987,"B","C")))</f>
        <v>B</v>
      </c>
      <c r="H39" s="10">
        <f>ABS(CODE(Table3[[#This Row],[Rev class]])-CODE(Table3[[#This Row],[Units class]]))</f>
        <v>0</v>
      </c>
      <c r="J39" s="74" t="s">
        <v>260</v>
      </c>
      <c r="K39" s="74"/>
      <c r="L39" s="74"/>
      <c r="M39" s="74"/>
      <c r="N39" s="74"/>
      <c r="O39" s="74"/>
      <c r="P39" s="74"/>
      <c r="Q39" s="74"/>
      <c r="R39" s="74"/>
      <c r="S39" s="74"/>
    </row>
    <row r="40" spans="1:19" ht="19" customHeight="1" x14ac:dyDescent="0.2">
      <c r="A40" s="27">
        <v>646</v>
      </c>
      <c r="B40" s="36">
        <v>20697.929992219993</v>
      </c>
      <c r="C40" s="32">
        <v>0.97558140450103426</v>
      </c>
      <c r="D40" s="37" t="str">
        <f t="shared" si="1"/>
        <v>B</v>
      </c>
      <c r="E40" s="10">
        <f>_xlfn.XLOOKUP(A40,'ABC Analysis'!$G:$G,'ABC Analysis'!H:H,,0)</f>
        <v>207</v>
      </c>
      <c r="F40" s="32">
        <f>_xlfn.XLOOKUP(A40,'ABC Analysis'!G:G,'ABC Analysis'!J:J,,0)</f>
        <v>0.9901771619014208</v>
      </c>
      <c r="G40" s="12" t="str">
        <f>_xlfn.LET(_xlpm.prev,Table3[[#This Row],[Units cum %]]-Table3[[#This Row],[Units]]/SUM(Table3[Units]),IF(_xlpm.prev&lt;0.88,"A",IF(_xlpm.prev&lt;0.987,"B","C")))</f>
        <v>C</v>
      </c>
      <c r="H40" s="10">
        <f>ABS(CODE(Table3[[#This Row],[Rev class]])-CODE(Table3[[#This Row],[Units class]]))</f>
        <v>1</v>
      </c>
      <c r="J40" s="74"/>
      <c r="K40" s="74"/>
      <c r="L40" s="74"/>
      <c r="M40" s="74"/>
      <c r="N40" s="74"/>
      <c r="O40" s="74"/>
      <c r="P40" s="74"/>
      <c r="Q40" s="74"/>
      <c r="R40" s="74"/>
      <c r="S40" s="74"/>
    </row>
    <row r="41" spans="1:19" x14ac:dyDescent="0.2">
      <c r="A41" s="27">
        <v>886</v>
      </c>
      <c r="B41" s="36">
        <v>20641.739813590044</v>
      </c>
      <c r="C41" s="32">
        <v>0.9762109513654561</v>
      </c>
      <c r="D41" s="37" t="str">
        <f t="shared" si="1"/>
        <v>B</v>
      </c>
      <c r="E41" s="10">
        <f>_xlfn.XLOOKUP(A41,'ABC Analysis'!$G:$G,'ABC Analysis'!H:H,,0)</f>
        <v>826</v>
      </c>
      <c r="F41" s="32">
        <f>_xlfn.XLOOKUP(A41,'ABC Analysis'!G:G,'ABC Analysis'!J:J,,0)</f>
        <v>0.95324685449225</v>
      </c>
      <c r="G41" s="12" t="str">
        <f>_xlfn.LET(_xlpm.prev,Table3[[#This Row],[Units cum %]]-Table3[[#This Row],[Units]]/SUM(Table3[Units]),IF(_xlpm.prev&lt;0.88,"A",IF(_xlpm.prev&lt;0.987,"B","C")))</f>
        <v>B</v>
      </c>
      <c r="H41" s="10">
        <f>ABS(CODE(Table3[[#This Row],[Rev class]])-CODE(Table3[[#This Row],[Units class]]))</f>
        <v>0</v>
      </c>
      <c r="J41" s="24"/>
      <c r="K41" s="24"/>
      <c r="L41" s="24"/>
      <c r="M41" s="24"/>
      <c r="N41" s="24"/>
      <c r="O41" s="24"/>
      <c r="P41" s="24"/>
      <c r="Q41" s="24"/>
      <c r="R41" s="24"/>
    </row>
    <row r="42" spans="1:19" x14ac:dyDescent="0.2">
      <c r="A42" s="27">
        <v>567</v>
      </c>
      <c r="B42" s="36">
        <v>20475</v>
      </c>
      <c r="C42" s="32">
        <v>0.97683541287720099</v>
      </c>
      <c r="D42" s="37" t="str">
        <f t="shared" si="1"/>
        <v>B</v>
      </c>
      <c r="E42" s="10">
        <f>_xlfn.XLOOKUP(A42,'ABC Analysis'!$G:$G,'ABC Analysis'!H:H,,0)</f>
        <v>819</v>
      </c>
      <c r="F42" s="32">
        <f>_xlfn.XLOOKUP(A42,'ABC Analysis'!G:G,'ABC Analysis'!J:J,,0)</f>
        <v>0.96011003360591152</v>
      </c>
      <c r="G42" s="12" t="str">
        <f>_xlfn.LET(_xlpm.prev,Table3[[#This Row],[Units cum %]]-Table3[[#This Row],[Units]]/SUM(Table3[Units]),IF(_xlpm.prev&lt;0.88,"A",IF(_xlpm.prev&lt;0.987,"B","C")))</f>
        <v>B</v>
      </c>
      <c r="H42" s="10">
        <f>ABS(CODE(Table3[[#This Row],[Rev class]])-CODE(Table3[[#This Row],[Units class]]))</f>
        <v>0</v>
      </c>
      <c r="K42" s="10"/>
    </row>
    <row r="43" spans="1:19" x14ac:dyDescent="0.2">
      <c r="A43" s="27">
        <v>778</v>
      </c>
      <c r="B43" s="36">
        <v>20166.929792970019</v>
      </c>
      <c r="C43" s="32">
        <v>0.97745047863865486</v>
      </c>
      <c r="D43" s="37" t="str">
        <f t="shared" si="1"/>
        <v>B</v>
      </c>
      <c r="E43" s="10">
        <f>_xlfn.XLOOKUP(A43,'ABC Analysis'!$G:$G,'ABC Analysis'!H:H,,0)</f>
        <v>807</v>
      </c>
      <c r="F43" s="32">
        <f>_xlfn.XLOOKUP(A43,'ABC Analysis'!G:G,'ABC Analysis'!J:J,,0)</f>
        <v>0.96688690093355945</v>
      </c>
      <c r="G43" s="12" t="str">
        <f>_xlfn.LET(_xlpm.prev,Table3[[#This Row],[Units cum %]]-Table3[[#This Row],[Units]]/SUM(Table3[Units]),IF(_xlpm.prev&lt;0.88,"A",IF(_xlpm.prev&lt;0.987,"B","C")))</f>
        <v>B</v>
      </c>
      <c r="H43" s="10">
        <f>ABS(CODE(Table3[[#This Row],[Rev class]])-CODE(Table3[[#This Row],[Units class]]))</f>
        <v>0</v>
      </c>
      <c r="K43" s="10"/>
    </row>
    <row r="44" spans="1:19" x14ac:dyDescent="0.2">
      <c r="A44" s="27">
        <v>93</v>
      </c>
      <c r="B44" s="36">
        <v>19917.029814530026</v>
      </c>
      <c r="C44" s="32">
        <v>0.97805792276795644</v>
      </c>
      <c r="D44" s="37" t="str">
        <f t="shared" si="1"/>
        <v>B</v>
      </c>
      <c r="E44" s="10">
        <f>_xlfn.XLOOKUP(A44,'ABC Analysis'!$G:$G,'ABC Analysis'!H:H,,0)</f>
        <v>797</v>
      </c>
      <c r="F44" s="32">
        <f>_xlfn.XLOOKUP(A44,'ABC Analysis'!G:G,'ABC Analysis'!J:J,,0)</f>
        <v>0.97134448704348719</v>
      </c>
      <c r="G44" s="12" t="str">
        <f>_xlfn.LET(_xlpm.prev,Table3[[#This Row],[Units cum %]]-Table3[[#This Row],[Units]]/SUM(Table3[Units]),IF(_xlpm.prev&lt;0.88,"A",IF(_xlpm.prev&lt;0.987,"B","C")))</f>
        <v>B</v>
      </c>
      <c r="H44" s="10">
        <f>ABS(CODE(Table3[[#This Row],[Rev class]])-CODE(Table3[[#This Row],[Units class]]))</f>
        <v>0</v>
      </c>
      <c r="K44" s="10"/>
    </row>
    <row r="45" spans="1:19" x14ac:dyDescent="0.2">
      <c r="A45" s="27">
        <v>359</v>
      </c>
      <c r="B45" s="36">
        <v>19898.009956279995</v>
      </c>
      <c r="C45" s="32">
        <v>0.97866478681572255</v>
      </c>
      <c r="D45" s="37" t="str">
        <f t="shared" si="1"/>
        <v>B</v>
      </c>
      <c r="E45" s="10">
        <f>_xlfn.XLOOKUP(A45,'ABC Analysis'!$G:$G,'ABC Analysis'!H:H,,0)</f>
        <v>199</v>
      </c>
      <c r="F45" s="32">
        <f>_xlfn.XLOOKUP(A45,'ABC Analysis'!G:G,'ABC Analysis'!J:J,,0)</f>
        <v>0.99187277085891368</v>
      </c>
      <c r="G45" s="12" t="str">
        <f>_xlfn.LET(_xlpm.prev,Table3[[#This Row],[Units cum %]]-Table3[[#This Row],[Units]]/SUM(Table3[Units]),IF(_xlpm.prev&lt;0.88,"A",IF(_xlpm.prev&lt;0.987,"B","C")))</f>
        <v>C</v>
      </c>
      <c r="H45" s="10">
        <f>ABS(CODE(Table3[[#This Row],[Rev class]])-CODE(Table3[[#This Row],[Units class]]))</f>
        <v>1</v>
      </c>
    </row>
    <row r="46" spans="1:19" x14ac:dyDescent="0.2">
      <c r="A46" s="27">
        <v>917</v>
      </c>
      <c r="B46" s="36">
        <v>19681.04975319004</v>
      </c>
      <c r="C46" s="32">
        <v>0.97926503385267505</v>
      </c>
      <c r="D46" s="37" t="str">
        <f t="shared" si="1"/>
        <v>B</v>
      </c>
      <c r="E46" s="10">
        <f>_xlfn.XLOOKUP(A46,'ABC Analysis'!$G:$G,'ABC Analysis'!H:H,,0)</f>
        <v>895</v>
      </c>
      <c r="F46" s="32">
        <f>_xlfn.XLOOKUP(A46,'ABC Analysis'!G:G,'ABC Analysis'!J:J,,0)</f>
        <v>0.90312754932996997</v>
      </c>
      <c r="G46" s="12" t="str">
        <f>_xlfn.LET(_xlpm.prev,Table3[[#This Row],[Units cum %]]-Table3[[#This Row],[Units]]/SUM(Table3[Units]),IF(_xlpm.prev&lt;0.88,"A",IF(_xlpm.prev&lt;0.987,"B","C")))</f>
        <v>B</v>
      </c>
      <c r="H46" s="10">
        <f>ABS(CODE(Table3[[#This Row],[Rev class]])-CODE(Table3[[#This Row],[Units class]]))</f>
        <v>0</v>
      </c>
    </row>
    <row r="47" spans="1:19" x14ac:dyDescent="0.2">
      <c r="A47" s="27">
        <v>897</v>
      </c>
      <c r="B47" s="36">
        <v>19642.139830469998</v>
      </c>
      <c r="C47" s="32">
        <v>0.97986409418637166</v>
      </c>
      <c r="D47" s="37" t="str">
        <f t="shared" si="1"/>
        <v>B</v>
      </c>
      <c r="E47" s="10">
        <f>_xlfn.XLOOKUP(A47,'ABC Analysis'!$G:$G,'ABC Analysis'!H:H,,0)</f>
        <v>786</v>
      </c>
      <c r="F47" s="32">
        <f>_xlfn.XLOOKUP(A47,'ABC Analysis'!G:G,'ABC Analysis'!J:J,,0)</f>
        <v>0.97353290845660601</v>
      </c>
      <c r="G47" s="12" t="str">
        <f>_xlfn.LET(_xlpm.prev,Table3[[#This Row],[Units cum %]]-Table3[[#This Row],[Units]]/SUM(Table3[Units]),IF(_xlpm.prev&lt;0.88,"A",IF(_xlpm.prev&lt;0.987,"B","C")))</f>
        <v>B</v>
      </c>
      <c r="H47" s="10">
        <f>ABS(CODE(Table3[[#This Row],[Rev class]])-CODE(Table3[[#This Row],[Units class]]))</f>
        <v>0</v>
      </c>
    </row>
    <row r="48" spans="1:19" x14ac:dyDescent="0.2">
      <c r="A48" s="27">
        <v>134</v>
      </c>
      <c r="B48" s="36">
        <v>19200</v>
      </c>
      <c r="C48" s="32">
        <v>0.98044966981643278</v>
      </c>
      <c r="D48" s="37" t="str">
        <f t="shared" si="1"/>
        <v>B</v>
      </c>
      <c r="E48" s="10">
        <f>_xlfn.XLOOKUP(A48,'ABC Analysis'!$G:$G,'ABC Analysis'!H:H,,0)</f>
        <v>768</v>
      </c>
      <c r="F48" s="32">
        <f>_xlfn.XLOOKUP(A48,'ABC Analysis'!G:G,'ABC Analysis'!J:J,,0)</f>
        <v>0.97999237115181681</v>
      </c>
      <c r="G48" s="12" t="str">
        <f>_xlfn.LET(_xlpm.prev,Table3[[#This Row],[Units cum %]]-Table3[[#This Row],[Units]]/SUM(Table3[Units]),IF(_xlpm.prev&lt;0.88,"A",IF(_xlpm.prev&lt;0.987,"B","C")))</f>
        <v>B</v>
      </c>
      <c r="H48" s="10">
        <f>ABS(CODE(Table3[[#This Row],[Rev class]])-CODE(Table3[[#This Row],[Units class]]))</f>
        <v>0</v>
      </c>
    </row>
    <row r="49" spans="1:8" x14ac:dyDescent="0.2">
      <c r="A49" s="27">
        <v>258</v>
      </c>
      <c r="B49" s="36">
        <v>18903.010009319994</v>
      </c>
      <c r="C49" s="32">
        <v>0.98102618762873783</v>
      </c>
      <c r="D49" s="37" t="str">
        <f t="shared" si="1"/>
        <v>B</v>
      </c>
      <c r="E49" s="10">
        <f>_xlfn.XLOOKUP(A49,'ABC Analysis'!$G:$G,'ABC Analysis'!H:H,,0)</f>
        <v>199</v>
      </c>
      <c r="F49" s="32">
        <f>_xlfn.XLOOKUP(A49,'ABC Analysis'!G:G,'ABC Analysis'!J:J,,0)</f>
        <v>0.99242683684009769</v>
      </c>
      <c r="G49" s="12" t="str">
        <f>_xlfn.LET(_xlpm.prev,Table3[[#This Row],[Units cum %]]-Table3[[#This Row],[Units]]/SUM(Table3[Units]),IF(_xlpm.prev&lt;0.88,"A",IF(_xlpm.prev&lt;0.987,"B","C")))</f>
        <v>C</v>
      </c>
      <c r="H49" s="10">
        <f>ABS(CODE(Table3[[#This Row],[Rev class]])-CODE(Table3[[#This Row],[Units class]]))</f>
        <v>1</v>
      </c>
    </row>
    <row r="50" spans="1:8" x14ac:dyDescent="0.2">
      <c r="A50" s="27">
        <v>135</v>
      </c>
      <c r="B50" s="36">
        <v>18656</v>
      </c>
      <c r="C50" s="32">
        <v>0.98159517194928048</v>
      </c>
      <c r="D50" s="37" t="str">
        <f t="shared" si="1"/>
        <v>B</v>
      </c>
      <c r="E50" s="10">
        <f>_xlfn.XLOOKUP(A50,'ABC Analysis'!$G:$G,'ABC Analysis'!H:H,,0)</f>
        <v>848</v>
      </c>
      <c r="F50" s="32">
        <f>_xlfn.XLOOKUP(A50,'ABC Analysis'!G:G,'ABC Analysis'!J:J,,0)</f>
        <v>0.93695063244265142</v>
      </c>
      <c r="G50" s="12" t="str">
        <f>_xlfn.LET(_xlpm.prev,Table3[[#This Row],[Units cum %]]-Table3[[#This Row],[Units]]/SUM(Table3[Units]),IF(_xlpm.prev&lt;0.88,"A",IF(_xlpm.prev&lt;0.987,"B","C")))</f>
        <v>B</v>
      </c>
      <c r="H50" s="10">
        <f>ABS(CODE(Table3[[#This Row],[Rev class]])-CODE(Table3[[#This Row],[Units class]]))</f>
        <v>0</v>
      </c>
    </row>
    <row r="51" spans="1:8" x14ac:dyDescent="0.2">
      <c r="A51" s="27">
        <v>251</v>
      </c>
      <c r="B51" s="36">
        <v>18627.930038399998</v>
      </c>
      <c r="C51" s="32">
        <v>0.98216330017162268</v>
      </c>
      <c r="D51" s="37" t="str">
        <f t="shared" si="1"/>
        <v>B</v>
      </c>
      <c r="E51" s="10">
        <f>_xlfn.XLOOKUP(A51,'ABC Analysis'!$G:$G,'ABC Analysis'!H:H,,0)</f>
        <v>207</v>
      </c>
      <c r="F51" s="32">
        <f>_xlfn.XLOOKUP(A51,'ABC Analysis'!G:G,'ABC Analysis'!J:J,,0)</f>
        <v>0.9907535018918987</v>
      </c>
      <c r="G51" s="12" t="str">
        <f>_xlfn.LET(_xlpm.prev,Table3[[#This Row],[Units cum %]]-Table3[[#This Row],[Units]]/SUM(Table3[Units]),IF(_xlpm.prev&lt;0.88,"A",IF(_xlpm.prev&lt;0.987,"B","C")))</f>
        <v>C</v>
      </c>
      <c r="H51" s="10">
        <f>ABS(CODE(Table3[[#This Row],[Rev class]])-CODE(Table3[[#This Row],[Units class]]))</f>
        <v>1</v>
      </c>
    </row>
    <row r="52" spans="1:8" x14ac:dyDescent="0.2">
      <c r="A52" s="27">
        <v>607</v>
      </c>
      <c r="B52" s="36">
        <v>18499.260406999991</v>
      </c>
      <c r="C52" s="32">
        <v>0.98272750413352339</v>
      </c>
      <c r="D52" s="37" t="str">
        <f t="shared" si="1"/>
        <v>B</v>
      </c>
      <c r="E52" s="10">
        <f>_xlfn.XLOOKUP(A52,'ABC Analysis'!$G:$G,'ABC Analysis'!H:H,,0)</f>
        <v>74</v>
      </c>
      <c r="F52" s="32">
        <f>_xlfn.XLOOKUP(A52,'ABC Analysis'!G:G,'ABC Analysis'!J:J,,0)</f>
        <v>0.99627188769444519</v>
      </c>
      <c r="G52" s="12" t="str">
        <f>_xlfn.LET(_xlpm.prev,Table3[[#This Row],[Units cum %]]-Table3[[#This Row],[Units]]/SUM(Table3[Units]),IF(_xlpm.prev&lt;0.88,"A",IF(_xlpm.prev&lt;0.987,"B","C")))</f>
        <v>C</v>
      </c>
      <c r="H52" s="10">
        <f>ABS(CODE(Table3[[#This Row],[Rev class]])-CODE(Table3[[#This Row],[Units class]]))</f>
        <v>1</v>
      </c>
    </row>
    <row r="53" spans="1:8" x14ac:dyDescent="0.2">
      <c r="A53" s="27">
        <v>677</v>
      </c>
      <c r="B53" s="36">
        <v>18498.149902479996</v>
      </c>
      <c r="C53" s="32">
        <v>0.98329167422644581</v>
      </c>
      <c r="D53" s="37" t="str">
        <f t="shared" si="1"/>
        <v>B</v>
      </c>
      <c r="E53" s="10">
        <f>_xlfn.XLOOKUP(A53,'ABC Analysis'!$G:$G,'ABC Analysis'!H:H,,0)</f>
        <v>185</v>
      </c>
      <c r="F53" s="32">
        <f>_xlfn.XLOOKUP(A53,'ABC Analysis'!G:G,'ABC Analysis'!J:J,,0)</f>
        <v>0.99398601749066584</v>
      </c>
      <c r="G53" s="12" t="str">
        <f>_xlfn.LET(_xlpm.prev,Table3[[#This Row],[Units cum %]]-Table3[[#This Row],[Units]]/SUM(Table3[Units]),IF(_xlpm.prev&lt;0.88,"A",IF(_xlpm.prev&lt;0.987,"B","C")))</f>
        <v>C</v>
      </c>
      <c r="H53" s="10">
        <f>ABS(CODE(Table3[[#This Row],[Rev class]])-CODE(Table3[[#This Row],[Units class]]))</f>
        <v>1</v>
      </c>
    </row>
    <row r="54" spans="1:8" x14ac:dyDescent="0.2">
      <c r="A54" s="27">
        <v>24</v>
      </c>
      <c r="B54" s="36">
        <v>18397.699973839994</v>
      </c>
      <c r="C54" s="32">
        <v>0.98385278072404247</v>
      </c>
      <c r="D54" s="37" t="str">
        <f t="shared" si="1"/>
        <v>B</v>
      </c>
      <c r="E54" s="10">
        <f>_xlfn.XLOOKUP(A54,'ABC Analysis'!$G:$G,'ABC Analysis'!H:H,,0)</f>
        <v>230</v>
      </c>
      <c r="F54" s="32">
        <f>_xlfn.XLOOKUP(A54,'ABC Analysis'!G:G,'ABC Analysis'!J:J,,0)</f>
        <v>0.98898828665536265</v>
      </c>
      <c r="G54" s="12" t="str">
        <f>_xlfn.LET(_xlpm.prev,Table3[[#This Row],[Units cum %]]-Table3[[#This Row],[Units]]/SUM(Table3[Units]),IF(_xlpm.prev&lt;0.88,"A",IF(_xlpm.prev&lt;0.987,"B","C")))</f>
        <v>C</v>
      </c>
      <c r="H54" s="10">
        <f>ABS(CODE(Table3[[#This Row],[Rev class]])-CODE(Table3[[#This Row],[Units class]]))</f>
        <v>1</v>
      </c>
    </row>
    <row r="55" spans="1:8" x14ac:dyDescent="0.2">
      <c r="A55" s="27">
        <v>78</v>
      </c>
      <c r="B55" s="36">
        <v>18098.189979399998</v>
      </c>
      <c r="C55" s="32">
        <v>0.98440475254696702</v>
      </c>
      <c r="D55" s="37" t="str">
        <f t="shared" si="1"/>
        <v>B</v>
      </c>
      <c r="E55" s="10">
        <f>_xlfn.XLOOKUP(A55,'ABC Analysis'!$G:$G,'ABC Analysis'!H:H,,0)</f>
        <v>181</v>
      </c>
      <c r="F55" s="32">
        <f>_xlfn.XLOOKUP(A55,'ABC Analysis'!G:G,'ABC Analysis'!J:J,,0)</f>
        <v>0.99448996695093872</v>
      </c>
      <c r="G55" s="12" t="str">
        <f>_xlfn.LET(_xlpm.prev,Table3[[#This Row],[Units cum %]]-Table3[[#This Row],[Units]]/SUM(Table3[Units]),IF(_xlpm.prev&lt;0.88,"A",IF(_xlpm.prev&lt;0.987,"B","C")))</f>
        <v>C</v>
      </c>
      <c r="H55" s="10">
        <f>ABS(CODE(Table3[[#This Row],[Rev class]])-CODE(Table3[[#This Row],[Units class]]))</f>
        <v>1</v>
      </c>
    </row>
    <row r="56" spans="1:8" x14ac:dyDescent="0.2">
      <c r="A56" s="27">
        <v>804</v>
      </c>
      <c r="B56" s="36">
        <v>17990.999806969976</v>
      </c>
      <c r="C56" s="32">
        <v>0.98495345520568556</v>
      </c>
      <c r="D56" s="37" t="str">
        <f t="shared" si="1"/>
        <v>B</v>
      </c>
      <c r="E56" s="10">
        <f>_xlfn.XLOOKUP(A56,'ABC Analysis'!$G:$G,'ABC Analysis'!H:H,,0)</f>
        <v>900</v>
      </c>
      <c r="F56" s="32">
        <f>_xlfn.XLOOKUP(A56,'ABC Analysis'!G:G,'ABC Analysis'!J:J,,0)</f>
        <v>0.90063564454022271</v>
      </c>
      <c r="G56" s="12" t="str">
        <f>_xlfn.LET(_xlpm.prev,Table3[[#This Row],[Units cum %]]-Table3[[#This Row],[Units]]/SUM(Table3[Units]),IF(_xlpm.prev&lt;0.88,"A",IF(_xlpm.prev&lt;0.987,"B","C")))</f>
        <v>B</v>
      </c>
      <c r="H56" s="10">
        <f>ABS(CODE(Table3[[#This Row],[Rev class]])-CODE(Table3[[#This Row],[Units class]]))</f>
        <v>0</v>
      </c>
    </row>
    <row r="57" spans="1:8" x14ac:dyDescent="0.2">
      <c r="A57" s="27">
        <v>295</v>
      </c>
      <c r="B57" s="36">
        <v>17891.049835299993</v>
      </c>
      <c r="C57" s="32">
        <v>0.98549910951713138</v>
      </c>
      <c r="D57" s="37" t="str">
        <f t="shared" si="1"/>
        <v>B</v>
      </c>
      <c r="E57" s="10">
        <f>_xlfn.XLOOKUP(A57,'ABC Analysis'!$G:$G,'ABC Analysis'!H:H,,0)</f>
        <v>179</v>
      </c>
      <c r="F57" s="32">
        <f>_xlfn.XLOOKUP(A57,'ABC Analysis'!G:G,'ABC Analysis'!J:J,,0)</f>
        <v>0.99498834790888813</v>
      </c>
      <c r="G57" s="12" t="str">
        <f>_xlfn.LET(_xlpm.prev,Table3[[#This Row],[Units cum %]]-Table3[[#This Row],[Units]]/SUM(Table3[Units]),IF(_xlpm.prev&lt;0.88,"A",IF(_xlpm.prev&lt;0.987,"B","C")))</f>
        <v>C</v>
      </c>
      <c r="H57" s="10">
        <f>ABS(CODE(Table3[[#This Row],[Rev class]])-CODE(Table3[[#This Row],[Units class]]))</f>
        <v>1</v>
      </c>
    </row>
    <row r="58" spans="1:8" x14ac:dyDescent="0.2">
      <c r="A58" s="27">
        <v>703</v>
      </c>
      <c r="B58" s="36">
        <v>17291.349814949972</v>
      </c>
      <c r="C58" s="32">
        <v>0.98602647373913632</v>
      </c>
      <c r="D58" s="37" t="str">
        <f t="shared" si="1"/>
        <v>B</v>
      </c>
      <c r="E58" s="10">
        <f>_xlfn.XLOOKUP(A58,'ABC Analysis'!$G:$G,'ABC Analysis'!H:H,,0)</f>
        <v>865</v>
      </c>
      <c r="F58" s="32">
        <f>_xlfn.XLOOKUP(A58,'ABC Analysis'!G:G,'ABC Analysis'!J:J,,0)</f>
        <v>0.92509250674484844</v>
      </c>
      <c r="G58" s="12" t="str">
        <f>_xlfn.LET(_xlpm.prev,Table3[[#This Row],[Units cum %]]-Table3[[#This Row],[Units]]/SUM(Table3[Units]),IF(_xlpm.prev&lt;0.88,"A",IF(_xlpm.prev&lt;0.987,"B","C")))</f>
        <v>B</v>
      </c>
      <c r="H58" s="10">
        <f>ABS(CODE(Table3[[#This Row],[Rev class]])-CODE(Table3[[#This Row],[Units class]]))</f>
        <v>0</v>
      </c>
    </row>
    <row r="59" spans="1:8" x14ac:dyDescent="0.2">
      <c r="A59" s="27">
        <v>981</v>
      </c>
      <c r="B59" s="36">
        <v>17028</v>
      </c>
      <c r="C59" s="32">
        <v>0.98654580612604681</v>
      </c>
      <c r="D59" s="37" t="str">
        <f t="shared" si="1"/>
        <v>B</v>
      </c>
      <c r="E59" s="10">
        <f>_xlfn.XLOOKUP(A59,'ABC Analysis'!$G:$G,'ABC Analysis'!H:H,,0)</f>
        <v>172</v>
      </c>
      <c r="F59" s="32">
        <f>_xlfn.XLOOKUP(A59,'ABC Analysis'!G:G,'ABC Analysis'!J:J,,0)</f>
        <v>0.99546723910870549</v>
      </c>
      <c r="G59" s="12" t="str">
        <f>_xlfn.LET(_xlpm.prev,Table3[[#This Row],[Units cum %]]-Table3[[#This Row],[Units]]/SUM(Table3[Units]),IF(_xlpm.prev&lt;0.88,"A",IF(_xlpm.prev&lt;0.987,"B","C")))</f>
        <v>C</v>
      </c>
      <c r="H59" s="10">
        <f>ABS(CODE(Table3[[#This Row],[Rev class]])-CODE(Table3[[#This Row],[Units class]]))</f>
        <v>1</v>
      </c>
    </row>
    <row r="60" spans="1:8" x14ac:dyDescent="0.2">
      <c r="A60" s="27">
        <v>306</v>
      </c>
      <c r="B60" s="36">
        <v>16738.140060279999</v>
      </c>
      <c r="C60" s="32">
        <v>0.98705629815270557</v>
      </c>
      <c r="D60" s="37" t="str">
        <f t="shared" si="1"/>
        <v>B</v>
      </c>
      <c r="E60" s="10">
        <f>_xlfn.XLOOKUP(A60,'ABC Analysis'!$G:$G,'ABC Analysis'!H:H,,0)</f>
        <v>186</v>
      </c>
      <c r="F60" s="32">
        <f>_xlfn.XLOOKUP(A60,'ABC Analysis'!G:G,'ABC Analysis'!J:J,,0)</f>
        <v>0.99347093102574602</v>
      </c>
      <c r="G60" s="12" t="str">
        <f>_xlfn.LET(_xlpm.prev,Table3[[#This Row],[Units cum %]]-Table3[[#This Row],[Units]]/SUM(Table3[Units]),IF(_xlpm.prev&lt;0.88,"A",IF(_xlpm.prev&lt;0.987,"B","C")))</f>
        <v>C</v>
      </c>
      <c r="H60" s="10">
        <f>ABS(CODE(Table3[[#This Row],[Rev class]])-CODE(Table3[[#This Row],[Units class]]))</f>
        <v>1</v>
      </c>
    </row>
    <row r="61" spans="1:8" x14ac:dyDescent="0.2">
      <c r="A61" s="27">
        <v>777</v>
      </c>
      <c r="B61" s="36">
        <v>16237.969940219995</v>
      </c>
      <c r="C61" s="32">
        <v>0.98755153562555231</v>
      </c>
      <c r="D61" s="37" t="str">
        <f t="shared" si="1"/>
        <v>B</v>
      </c>
      <c r="E61" s="10">
        <f>_xlfn.XLOOKUP(A61,'ABC Analysis'!$G:$G,'ABC Analysis'!H:H,,0)</f>
        <v>203</v>
      </c>
      <c r="F61" s="32">
        <f>_xlfn.XLOOKUP(A61,'ABC Analysis'!G:G,'ABC Analysis'!J:J,,0)</f>
        <v>0.99131870487772966</v>
      </c>
      <c r="G61" s="12" t="str">
        <f>_xlfn.LET(_xlpm.prev,Table3[[#This Row],[Units cum %]]-Table3[[#This Row],[Units]]/SUM(Table3[Units]),IF(_xlpm.prev&lt;0.88,"A",IF(_xlpm.prev&lt;0.987,"B","C")))</f>
        <v>C</v>
      </c>
      <c r="H61" s="10">
        <f>ABS(CODE(Table3[[#This Row],[Rev class]])-CODE(Table3[[#This Row],[Units class]]))</f>
        <v>1</v>
      </c>
    </row>
    <row r="62" spans="1:8" x14ac:dyDescent="0.2">
      <c r="A62" s="27">
        <v>797</v>
      </c>
      <c r="B62" s="36">
        <v>15381.449813459963</v>
      </c>
      <c r="C62" s="32">
        <v>0.98802065032168607</v>
      </c>
      <c r="D62" s="37" t="str">
        <f t="shared" si="1"/>
        <v>B</v>
      </c>
      <c r="E62" s="10">
        <f>_xlfn.XLOOKUP(A62,'ABC Analysis'!$G:$G,'ABC Analysis'!H:H,,0)</f>
        <v>855</v>
      </c>
      <c r="F62" s="32">
        <f>_xlfn.XLOOKUP(A62,'ABC Analysis'!G:G,'ABC Analysis'!J:J,,0)</f>
        <v>0.92986192898488984</v>
      </c>
      <c r="G62" s="12" t="str">
        <f>_xlfn.LET(_xlpm.prev,Table3[[#This Row],[Units cum %]]-Table3[[#This Row],[Units]]/SUM(Table3[Units]),IF(_xlpm.prev&lt;0.88,"A",IF(_xlpm.prev&lt;0.987,"B","C")))</f>
        <v>B</v>
      </c>
      <c r="H62" s="10">
        <f>ABS(CODE(Table3[[#This Row],[Rev class]])-CODE(Table3[[#This Row],[Units class]]))</f>
        <v>0</v>
      </c>
    </row>
    <row r="63" spans="1:8" x14ac:dyDescent="0.2">
      <c r="A63" s="27">
        <v>730</v>
      </c>
      <c r="B63" s="36">
        <v>15120</v>
      </c>
      <c r="C63" s="32">
        <v>0.98848179113035917</v>
      </c>
      <c r="D63" s="37" t="str">
        <f t="shared" si="1"/>
        <v>B</v>
      </c>
      <c r="E63" s="10">
        <f>_xlfn.XLOOKUP(A63,'ABC Analysis'!$G:$G,'ABC Analysis'!H:H,,0)</f>
        <v>189</v>
      </c>
      <c r="F63" s="32">
        <f>_xlfn.XLOOKUP(A63,'ABC Analysis'!G:G,'ABC Analysis'!J:J,,0)</f>
        <v>0.99295306030966446</v>
      </c>
      <c r="G63" s="12" t="str">
        <f>_xlfn.LET(_xlpm.prev,Table3[[#This Row],[Units cum %]]-Table3[[#This Row],[Units]]/SUM(Table3[Units]),IF(_xlpm.prev&lt;0.88,"A",IF(_xlpm.prev&lt;0.987,"B","C")))</f>
        <v>C</v>
      </c>
      <c r="H63" s="10">
        <f>ABS(CODE(Table3[[#This Row],[Rev class]])-CODE(Table3[[#This Row],[Units class]]))</f>
        <v>1</v>
      </c>
    </row>
    <row r="64" spans="1:8" x14ac:dyDescent="0.2">
      <c r="A64" s="27">
        <v>810</v>
      </c>
      <c r="B64" s="36">
        <v>14832.579835519977</v>
      </c>
      <c r="C64" s="32">
        <v>0.98893416598882877</v>
      </c>
      <c r="D64" s="37" t="str">
        <f t="shared" si="1"/>
        <v>B</v>
      </c>
      <c r="E64" s="10">
        <f>_xlfn.XLOOKUP(A64,'ABC Analysis'!$G:$G,'ABC Analysis'!H:H,,0)</f>
        <v>742</v>
      </c>
      <c r="F64" s="32">
        <f>_xlfn.XLOOKUP(A64,'ABC Analysis'!G:G,'ABC Analysis'!J:J,,0)</f>
        <v>0.98628756302848564</v>
      </c>
      <c r="G64" s="12" t="str">
        <f>_xlfn.LET(_xlpm.prev,Table3[[#This Row],[Units cum %]]-Table3[[#This Row],[Units]]/SUM(Table3[Units]),IF(_xlpm.prev&lt;0.88,"A",IF(_xlpm.prev&lt;0.987,"B","C")))</f>
        <v>B</v>
      </c>
      <c r="H64" s="10">
        <f>ABS(CODE(Table3[[#This Row],[Rev class]])-CODE(Table3[[#This Row],[Units class]]))</f>
        <v>0</v>
      </c>
    </row>
    <row r="65" spans="1:8" x14ac:dyDescent="0.2">
      <c r="A65" s="27">
        <v>926</v>
      </c>
      <c r="B65" s="36">
        <v>14055.209802249969</v>
      </c>
      <c r="C65" s="32">
        <v>0.98936283204797426</v>
      </c>
      <c r="D65" s="37" t="str">
        <f t="shared" si="1"/>
        <v>B</v>
      </c>
      <c r="E65" s="10">
        <f>_xlfn.XLOOKUP(A65,'ABC Analysis'!$G:$G,'ABC Analysis'!H:H,,0)</f>
        <v>879</v>
      </c>
      <c r="F65" s="32">
        <f>_xlfn.XLOOKUP(A65,'ABC Analysis'!G:G,'ABC Analysis'!J:J,,0)</f>
        <v>0.91052252041552162</v>
      </c>
      <c r="G65" s="12" t="str">
        <f>_xlfn.LET(_xlpm.prev,Table3[[#This Row],[Units cum %]]-Table3[[#This Row],[Units]]/SUM(Table3[Units]),IF(_xlpm.prev&lt;0.88,"A",IF(_xlpm.prev&lt;0.987,"B","C")))</f>
        <v>B</v>
      </c>
      <c r="H65" s="10">
        <f>ABS(CODE(Table3[[#This Row],[Rev class]])-CODE(Table3[[#This Row],[Units class]]))</f>
        <v>0</v>
      </c>
    </row>
    <row r="66" spans="1:8" x14ac:dyDescent="0.2">
      <c r="A66" s="27">
        <v>1059</v>
      </c>
      <c r="B66" s="36">
        <v>13999.599607999995</v>
      </c>
      <c r="C66" s="32">
        <v>0.98978980206677936</v>
      </c>
      <c r="D66" s="37" t="str">
        <f t="shared" si="1"/>
        <v>B</v>
      </c>
      <c r="E66" s="10">
        <f>_xlfn.XLOOKUP(A66,'ABC Analysis'!$G:$G,'ABC Analysis'!H:H,,0)</f>
        <v>40</v>
      </c>
      <c r="F66" s="32">
        <f>_xlfn.XLOOKUP(A66,'ABC Analysis'!G:G,'ABC Analysis'!J:J,,0)</f>
        <v>0.99926774194446533</v>
      </c>
      <c r="G66" s="12" t="str">
        <f>_xlfn.LET(_xlpm.prev,Table3[[#This Row],[Units cum %]]-Table3[[#This Row],[Units]]/SUM(Table3[Units]),IF(_xlpm.prev&lt;0.88,"A",IF(_xlpm.prev&lt;0.987,"B","C")))</f>
        <v>C</v>
      </c>
      <c r="H66" s="10">
        <f>ABS(CODE(Table3[[#This Row],[Rev class]])-CODE(Table3[[#This Row],[Units class]]))</f>
        <v>1</v>
      </c>
    </row>
    <row r="67" spans="1:8" x14ac:dyDescent="0.2">
      <c r="A67" s="27">
        <v>924</v>
      </c>
      <c r="B67" s="36">
        <v>13335.659799229996</v>
      </c>
      <c r="C67" s="32">
        <v>0.99019652276413417</v>
      </c>
      <c r="D67" s="37" t="str">
        <f t="shared" si="1"/>
        <v>B</v>
      </c>
      <c r="E67" s="10">
        <f>_xlfn.XLOOKUP(A67,'ABC Analysis'!$G:$G,'ABC Analysis'!H:H,,0)</f>
        <v>834</v>
      </c>
      <c r="F67" s="32">
        <f>_xlfn.XLOOKUP(A67,'ABC Analysis'!G:G,'ABC Analysis'!J:J,,0)</f>
        <v>0.94864448732191231</v>
      </c>
      <c r="G67" s="12" t="str">
        <f>_xlfn.LET(_xlpm.prev,Table3[[#This Row],[Units cum %]]-Table3[[#This Row],[Units]]/SUM(Table3[Units]),IF(_xlpm.prev&lt;0.88,"A",IF(_xlpm.prev&lt;0.987,"B","C")))</f>
        <v>B</v>
      </c>
      <c r="H67" s="10">
        <f>ABS(CODE(Table3[[#This Row],[Rev class]])-CODE(Table3[[#This Row],[Units class]]))</f>
        <v>0</v>
      </c>
    </row>
    <row r="68" spans="1:8" x14ac:dyDescent="0.2">
      <c r="A68" s="27">
        <v>303</v>
      </c>
      <c r="B68" s="36">
        <v>13199.669676599995</v>
      </c>
      <c r="C68" s="32">
        <v>0.99059909593535678</v>
      </c>
      <c r="D68" s="37" t="str">
        <f t="shared" ref="D68:D101" si="2">IF(C67&lt;=94%,"A",IF(C67&lt;=99%,"B","C"))</f>
        <v>C</v>
      </c>
      <c r="E68" s="10">
        <f>_xlfn.XLOOKUP(A68,'ABC Analysis'!$G:$G,'ABC Analysis'!H:H,,0)</f>
        <v>33</v>
      </c>
      <c r="F68" s="32">
        <f>_xlfn.XLOOKUP(A68,'ABC Analysis'!G:G,'ABC Analysis'!J:J,,0)</f>
        <v>0.99955173556296162</v>
      </c>
      <c r="G68" s="12" t="str">
        <f>_xlfn.LET(_xlpm.prev,Table3[[#This Row],[Units cum %]]-Table3[[#This Row],[Units]]/SUM(Table3[Units]),IF(_xlpm.prev&lt;0.88,"A",IF(_xlpm.prev&lt;0.987,"B","C")))</f>
        <v>C</v>
      </c>
      <c r="H68" s="10">
        <f>ABS(CODE(Table3[[#This Row],[Rev class]])-CODE(Table3[[#This Row],[Units class]]))</f>
        <v>0</v>
      </c>
    </row>
    <row r="69" spans="1:8" x14ac:dyDescent="0.2">
      <c r="A69" s="27">
        <v>671</v>
      </c>
      <c r="B69" s="36">
        <v>13019.380340999991</v>
      </c>
      <c r="C69" s="32">
        <v>0.9909961705106789</v>
      </c>
      <c r="D69" s="37" t="str">
        <f t="shared" si="2"/>
        <v>C</v>
      </c>
      <c r="E69" s="10">
        <f>_xlfn.XLOOKUP(A69,'ABC Analysis'!$G:$G,'ABC Analysis'!H:H,,0)</f>
        <v>62</v>
      </c>
      <c r="F69" s="32">
        <f>_xlfn.XLOOKUP(A69,'ABC Analysis'!G:G,'ABC Analysis'!J:J,,0)</f>
        <v>0.99790624312637999</v>
      </c>
      <c r="G69" s="12" t="str">
        <f>_xlfn.LET(_xlpm.prev,Table3[[#This Row],[Units cum %]]-Table3[[#This Row],[Units]]/SUM(Table3[Units]),IF(_xlpm.prev&lt;0.88,"A",IF(_xlpm.prev&lt;0.987,"B","C")))</f>
        <v>C</v>
      </c>
      <c r="H69" s="10">
        <f>ABS(CODE(Table3[[#This Row],[Rev class]])-CODE(Table3[[#This Row],[Units class]]))</f>
        <v>0</v>
      </c>
    </row>
    <row r="70" spans="1:8" x14ac:dyDescent="0.2">
      <c r="A70" s="27">
        <v>305</v>
      </c>
      <c r="B70" s="36">
        <v>12935</v>
      </c>
      <c r="C70" s="32">
        <v>0.99139067159270189</v>
      </c>
      <c r="D70" s="37" t="str">
        <f t="shared" si="2"/>
        <v>C</v>
      </c>
      <c r="E70" s="10">
        <f>_xlfn.XLOOKUP(A70,'ABC Analysis'!$G:$G,'ABC Analysis'!H:H,,0)</f>
        <v>65</v>
      </c>
      <c r="F70" s="32">
        <f>_xlfn.XLOOKUP(A70,'ABC Analysis'!G:G,'ABC Analysis'!J:J,,0)</f>
        <v>0.99702920401043538</v>
      </c>
      <c r="G70" s="12" t="str">
        <f>_xlfn.LET(_xlpm.prev,Table3[[#This Row],[Units cum %]]-Table3[[#This Row],[Units]]/SUM(Table3[Units]),IF(_xlpm.prev&lt;0.88,"A",IF(_xlpm.prev&lt;0.987,"B","C")))</f>
        <v>C</v>
      </c>
      <c r="H70" s="10">
        <f>ABS(CODE(Table3[[#This Row],[Rev class]])-CODE(Table3[[#This Row],[Units class]]))</f>
        <v>0</v>
      </c>
    </row>
    <row r="71" spans="1:8" x14ac:dyDescent="0.2">
      <c r="A71" s="27">
        <v>203</v>
      </c>
      <c r="B71" s="36">
        <v>12799.679686399995</v>
      </c>
      <c r="C71" s="32">
        <v>0.99178104557691771</v>
      </c>
      <c r="D71" s="37" t="str">
        <f t="shared" si="2"/>
        <v>C</v>
      </c>
      <c r="E71" s="10">
        <f>_xlfn.XLOOKUP(A71,'ABC Analysis'!$G:$G,'ABC Analysis'!H:H,,0)</f>
        <v>32</v>
      </c>
      <c r="F71" s="32">
        <f>_xlfn.XLOOKUP(A71,'ABC Analysis'!G:G,'ABC Analysis'!J:J,,0)</f>
        <v>0.99964083160013695</v>
      </c>
      <c r="G71" s="12" t="str">
        <f>_xlfn.LET(_xlpm.prev,Table3[[#This Row],[Units cum %]]-Table3[[#This Row],[Units]]/SUM(Table3[Units]),IF(_xlpm.prev&lt;0.88,"A",IF(_xlpm.prev&lt;0.987,"B","C")))</f>
        <v>C</v>
      </c>
      <c r="H71" s="10">
        <f>ABS(CODE(Table3[[#This Row],[Rev class]])-CODE(Table3[[#This Row],[Units class]]))</f>
        <v>0</v>
      </c>
    </row>
    <row r="72" spans="1:8" x14ac:dyDescent="0.2">
      <c r="A72" s="27">
        <v>773</v>
      </c>
      <c r="B72" s="36">
        <v>12749.490280499993</v>
      </c>
      <c r="C72" s="32">
        <v>0.99216988884795743</v>
      </c>
      <c r="D72" s="37" t="str">
        <f t="shared" si="2"/>
        <v>C</v>
      </c>
      <c r="E72" s="10">
        <f>_xlfn.XLOOKUP(A72,'ABC Analysis'!$G:$G,'ABC Analysis'!H:H,,0)</f>
        <v>51</v>
      </c>
      <c r="F72" s="32">
        <f>_xlfn.XLOOKUP(A72,'ABC Analysis'!G:G,'ABC Analysis'!J:J,,0)</f>
        <v>0.99902272784223323</v>
      </c>
      <c r="G72" s="12" t="str">
        <f>_xlfn.LET(_xlpm.prev,Table3[[#This Row],[Units cum %]]-Table3[[#This Row],[Units]]/SUM(Table3[Units]),IF(_xlpm.prev&lt;0.88,"A",IF(_xlpm.prev&lt;0.987,"B","C")))</f>
        <v>C</v>
      </c>
      <c r="H72" s="10">
        <f>ABS(CODE(Table3[[#This Row],[Rev class]])-CODE(Table3[[#This Row],[Units class]]))</f>
        <v>0</v>
      </c>
    </row>
    <row r="73" spans="1:8" x14ac:dyDescent="0.2">
      <c r="A73" s="27">
        <v>793</v>
      </c>
      <c r="B73" s="36">
        <v>12531.639821639979</v>
      </c>
      <c r="C73" s="32">
        <v>0.9925520879565124</v>
      </c>
      <c r="D73" s="37" t="str">
        <f t="shared" si="2"/>
        <v>C</v>
      </c>
      <c r="E73" s="10">
        <f>_xlfn.XLOOKUP(A73,'ABC Analysis'!$G:$G,'ABC Analysis'!H:H,,0)</f>
        <v>836</v>
      </c>
      <c r="F73" s="32">
        <f>_xlfn.XLOOKUP(A73,'ABC Analysis'!G:G,'ABC Analysis'!J:J,,0)</f>
        <v>0.9463224218530305</v>
      </c>
      <c r="G73" s="12" t="str">
        <f>_xlfn.LET(_xlpm.prev,Table3[[#This Row],[Units cum %]]-Table3[[#This Row],[Units]]/SUM(Table3[Units]),IF(_xlpm.prev&lt;0.88,"A",IF(_xlpm.prev&lt;0.987,"B","C")))</f>
        <v>B</v>
      </c>
      <c r="H73" s="10">
        <f>ABS(CODE(Table3[[#This Row],[Rev class]])-CODE(Table3[[#This Row],[Units class]]))</f>
        <v>1</v>
      </c>
    </row>
    <row r="74" spans="1:8" x14ac:dyDescent="0.2">
      <c r="A74" s="27">
        <v>792</v>
      </c>
      <c r="B74" s="36">
        <v>12381.739814339981</v>
      </c>
      <c r="C74" s="32">
        <v>0.99292971530510798</v>
      </c>
      <c r="D74" s="37" t="str">
        <f t="shared" si="2"/>
        <v>C</v>
      </c>
      <c r="E74" s="10">
        <f>_xlfn.XLOOKUP(A74,'ABC Analysis'!$G:$G,'ABC Analysis'!H:H,,0)</f>
        <v>826</v>
      </c>
      <c r="F74" s="32">
        <f>_xlfn.XLOOKUP(A74,'ABC Analysis'!G:G,'ABC Analysis'!J:J,,0)</f>
        <v>0.95554664595183803</v>
      </c>
      <c r="G74" s="12" t="str">
        <f>_xlfn.LET(_xlpm.prev,Table3[[#This Row],[Units cum %]]-Table3[[#This Row],[Units]]/SUM(Table3[Units]),IF(_xlpm.prev&lt;0.88,"A",IF(_xlpm.prev&lt;0.987,"B","C")))</f>
        <v>B</v>
      </c>
      <c r="H74" s="10">
        <f>ABS(CODE(Table3[[#This Row],[Rev class]])-CODE(Table3[[#This Row],[Units class]]))</f>
        <v>1</v>
      </c>
    </row>
    <row r="75" spans="1:8" x14ac:dyDescent="0.2">
      <c r="A75" s="27">
        <v>208</v>
      </c>
      <c r="B75" s="36">
        <v>11999.93994</v>
      </c>
      <c r="C75" s="32">
        <v>0.99329569824214248</v>
      </c>
      <c r="D75" s="37" t="str">
        <f t="shared" si="2"/>
        <v>C</v>
      </c>
      <c r="E75" s="10">
        <f>_xlfn.XLOOKUP(A75,'ABC Analysis'!$G:$G,'ABC Analysis'!H:H,,0)</f>
        <v>6</v>
      </c>
      <c r="F75" s="32">
        <f>_xlfn.XLOOKUP(A75,'ABC Analysis'!G:G,'ABC Analysis'!J:J,,0)</f>
        <v>0.99998329449302958</v>
      </c>
      <c r="G75" s="12" t="str">
        <f>_xlfn.LET(_xlpm.prev,Table3[[#This Row],[Units cum %]]-Table3[[#This Row],[Units]]/SUM(Table3[Units]),IF(_xlpm.prev&lt;0.88,"A",IF(_xlpm.prev&lt;0.987,"B","C")))</f>
        <v>C</v>
      </c>
      <c r="H75" s="10">
        <f>ABS(CODE(Table3[[#This Row],[Rev class]])-CODE(Table3[[#This Row],[Units class]]))</f>
        <v>0</v>
      </c>
    </row>
    <row r="76" spans="1:8" x14ac:dyDescent="0.2">
      <c r="A76" s="27">
        <v>625</v>
      </c>
      <c r="B76" s="36">
        <v>11799.410324499993</v>
      </c>
      <c r="C76" s="32">
        <v>0.99365556528042975</v>
      </c>
      <c r="D76" s="37" t="str">
        <f t="shared" si="2"/>
        <v>C</v>
      </c>
      <c r="E76" s="10">
        <f>_xlfn.XLOOKUP(A76,'ABC Analysis'!$G:$G,'ABC Analysis'!H:H,,0)</f>
        <v>59</v>
      </c>
      <c r="F76" s="32">
        <f>_xlfn.XLOOKUP(A76,'ABC Analysis'!G:G,'ABC Analysis'!J:J,,0)</f>
        <v>0.9984129768378146</v>
      </c>
      <c r="G76" s="12" t="str">
        <f>_xlfn.LET(_xlpm.prev,Table3[[#This Row],[Units cum %]]-Table3[[#This Row],[Units]]/SUM(Table3[Units]),IF(_xlpm.prev&lt;0.88,"A",IF(_xlpm.prev&lt;0.987,"B","C")))</f>
        <v>C</v>
      </c>
      <c r="H76" s="10">
        <f>ABS(CODE(Table3[[#This Row],[Rev class]])-CODE(Table3[[#This Row],[Units class]]))</f>
        <v>0</v>
      </c>
    </row>
    <row r="77" spans="1:8" x14ac:dyDescent="0.2">
      <c r="A77" s="27">
        <v>216</v>
      </c>
      <c r="B77" s="36">
        <v>11718</v>
      </c>
      <c r="C77" s="32">
        <v>0.99401294940715146</v>
      </c>
      <c r="D77" s="37" t="str">
        <f t="shared" si="2"/>
        <v>C</v>
      </c>
      <c r="E77" s="10">
        <f>_xlfn.XLOOKUP(A77,'ABC Analysis'!$G:$G,'ABC Analysis'!H:H,,0)</f>
        <v>62</v>
      </c>
      <c r="F77" s="32">
        <f>_xlfn.XLOOKUP(A77,'ABC Analysis'!G:G,'ABC Analysis'!J:J,,0)</f>
        <v>0.9977336195543528</v>
      </c>
      <c r="G77" s="12" t="str">
        <f>_xlfn.LET(_xlpm.prev,Table3[[#This Row],[Units cum %]]-Table3[[#This Row],[Units]]/SUM(Table3[Units]),IF(_xlpm.prev&lt;0.88,"A",IF(_xlpm.prev&lt;0.987,"B","C")))</f>
        <v>C</v>
      </c>
      <c r="H77" s="10">
        <f>ABS(CODE(Table3[[#This Row],[Rev class]])-CODE(Table3[[#This Row],[Units class]]))</f>
        <v>0</v>
      </c>
    </row>
    <row r="78" spans="1:8" x14ac:dyDescent="0.2">
      <c r="A78" s="27">
        <v>786</v>
      </c>
      <c r="B78" s="36">
        <v>11339.370346499993</v>
      </c>
      <c r="C78" s="32">
        <v>0.99435878581002379</v>
      </c>
      <c r="D78" s="37" t="str">
        <f t="shared" si="2"/>
        <v>C</v>
      </c>
      <c r="E78" s="10">
        <f>_xlfn.XLOOKUP(A78,'ABC Analysis'!$G:$G,'ABC Analysis'!H:H,,0)</f>
        <v>63</v>
      </c>
      <c r="F78" s="32">
        <f>_xlfn.XLOOKUP(A78,'ABC Analysis'!G:G,'ABC Analysis'!J:J,,0)</f>
        <v>0.99756099598232562</v>
      </c>
      <c r="G78" s="12" t="str">
        <f>_xlfn.LET(_xlpm.prev,Table3[[#This Row],[Units cum %]]-Table3[[#This Row],[Units]]/SUM(Table3[Units]),IF(_xlpm.prev&lt;0.88,"A",IF(_xlpm.prev&lt;0.987,"B","C")))</f>
        <v>C</v>
      </c>
      <c r="H78" s="10">
        <f>ABS(CODE(Table3[[#This Row],[Rev class]])-CODE(Table3[[#This Row],[Units class]]))</f>
        <v>0</v>
      </c>
    </row>
    <row r="79" spans="1:8" x14ac:dyDescent="0.2">
      <c r="A79" s="27">
        <v>858</v>
      </c>
      <c r="B79" s="36">
        <v>11199.440307999994</v>
      </c>
      <c r="C79" s="32">
        <v>0.99470035452433048</v>
      </c>
      <c r="D79" s="37" t="str">
        <f t="shared" si="2"/>
        <v>C</v>
      </c>
      <c r="E79" s="10">
        <f>_xlfn.XLOOKUP(A79,'ABC Analysis'!$G:$G,'ABC Analysis'!H:H,,0)</f>
        <v>56</v>
      </c>
      <c r="F79" s="32">
        <f>_xlfn.XLOOKUP(A79,'ABC Analysis'!G:G,'ABC Analysis'!J:J,,0)</f>
        <v>0.99873038147025162</v>
      </c>
      <c r="G79" s="12" t="str">
        <f>_xlfn.LET(_xlpm.prev,Table3[[#This Row],[Units cum %]]-Table3[[#This Row],[Units]]/SUM(Table3[Units]),IF(_xlpm.prev&lt;0.88,"A",IF(_xlpm.prev&lt;0.987,"B","C")))</f>
        <v>C</v>
      </c>
      <c r="H79" s="10">
        <f>ABS(CODE(Table3[[#This Row],[Rev class]])-CODE(Table3[[#This Row],[Units class]]))</f>
        <v>0</v>
      </c>
    </row>
    <row r="80" spans="1:8" x14ac:dyDescent="0.2">
      <c r="A80" s="27">
        <v>364</v>
      </c>
      <c r="B80" s="36">
        <v>10799.639647199996</v>
      </c>
      <c r="C80" s="32">
        <v>0.99502972982593685</v>
      </c>
      <c r="D80" s="37" t="str">
        <f t="shared" si="2"/>
        <v>C</v>
      </c>
      <c r="E80" s="10">
        <f>_xlfn.XLOOKUP(A80,'ABC Analysis'!$G:$G,'ABC Analysis'!H:H,,0)</f>
        <v>36</v>
      </c>
      <c r="F80" s="32">
        <f>_xlfn.XLOOKUP(A80,'ABC Analysis'!G:G,'ABC Analysis'!J:J,,0)</f>
        <v>0.9993679749862876</v>
      </c>
      <c r="G80" s="12" t="str">
        <f>_xlfn.LET(_xlpm.prev,Table3[[#This Row],[Units cum %]]-Table3[[#This Row],[Units]]/SUM(Table3[Units]),IF(_xlpm.prev&lt;0.88,"A",IF(_xlpm.prev&lt;0.987,"B","C")))</f>
        <v>C</v>
      </c>
      <c r="H80" s="10">
        <f>ABS(CODE(Table3[[#This Row],[Rev class]])-CODE(Table3[[#This Row],[Units class]]))</f>
        <v>0</v>
      </c>
    </row>
    <row r="81" spans="1:8" x14ac:dyDescent="0.2">
      <c r="A81" s="27">
        <v>691</v>
      </c>
      <c r="B81" s="36">
        <v>10558.679908799995</v>
      </c>
      <c r="C81" s="32">
        <v>0.9953517561613644</v>
      </c>
      <c r="D81" s="37" t="str">
        <f t="shared" si="2"/>
        <v>C</v>
      </c>
      <c r="E81" s="10">
        <f>_xlfn.XLOOKUP(A81,'ABC Analysis'!$G:$G,'ABC Analysis'!H:H,,0)</f>
        <v>132</v>
      </c>
      <c r="F81" s="32">
        <f>_xlfn.XLOOKUP(A81,'ABC Analysis'!G:G,'ABC Analysis'!J:J,,0)</f>
        <v>0.99583476026205375</v>
      </c>
      <c r="G81" s="12" t="str">
        <f>_xlfn.LET(_xlpm.prev,Table3[[#This Row],[Units cum %]]-Table3[[#This Row],[Units]]/SUM(Table3[Units]),IF(_xlpm.prev&lt;0.88,"A",IF(_xlpm.prev&lt;0.987,"B","C")))</f>
        <v>C</v>
      </c>
      <c r="H81" s="10">
        <f>ABS(CODE(Table3[[#This Row],[Rev class]])-CODE(Table3[[#This Row],[Units class]]))</f>
        <v>0</v>
      </c>
    </row>
    <row r="82" spans="1:8" x14ac:dyDescent="0.2">
      <c r="A82" s="27">
        <v>743</v>
      </c>
      <c r="B82" s="36">
        <v>10369.390335499993</v>
      </c>
      <c r="C82" s="32">
        <v>0.9956680094050655</v>
      </c>
      <c r="D82" s="37" t="str">
        <f t="shared" si="2"/>
        <v>C</v>
      </c>
      <c r="E82" s="10">
        <f>_xlfn.XLOOKUP(A82,'ABC Analysis'!$G:$G,'ABC Analysis'!H:H,,0)</f>
        <v>61</v>
      </c>
      <c r="F82" s="32">
        <f>_xlfn.XLOOKUP(A82,'ABC Analysis'!G:G,'ABC Analysis'!J:J,,0)</f>
        <v>0.99824870601927262</v>
      </c>
      <c r="G82" s="12" t="str">
        <f>_xlfn.LET(_xlpm.prev,Table3[[#This Row],[Units cum %]]-Table3[[#This Row],[Units]]/SUM(Table3[Units]),IF(_xlpm.prev&lt;0.88,"A",IF(_xlpm.prev&lt;0.987,"B","C")))</f>
        <v>C</v>
      </c>
      <c r="H82" s="10">
        <f>ABS(CODE(Table3[[#This Row],[Rev class]])-CODE(Table3[[#This Row],[Units class]]))</f>
        <v>0</v>
      </c>
    </row>
    <row r="83" spans="1:8" x14ac:dyDescent="0.2">
      <c r="A83" s="27">
        <v>35</v>
      </c>
      <c r="B83" s="36">
        <v>9919.3803409999928</v>
      </c>
      <c r="C83" s="32">
        <v>0.99597053791511736</v>
      </c>
      <c r="D83" s="37" t="str">
        <f t="shared" si="2"/>
        <v>C</v>
      </c>
      <c r="E83" s="10">
        <f>_xlfn.XLOOKUP(A83,'ABC Analysis'!$G:$G,'ABC Analysis'!H:H,,0)</f>
        <v>62</v>
      </c>
      <c r="F83" s="32">
        <f>_xlfn.XLOOKUP(A83,'ABC Analysis'!G:G,'ABC Analysis'!J:J,,0)</f>
        <v>0.99807886669840717</v>
      </c>
      <c r="G83" s="12" t="str">
        <f>_xlfn.LET(_xlpm.prev,Table3[[#This Row],[Units cum %]]-Table3[[#This Row],[Units]]/SUM(Table3[Units]),IF(_xlpm.prev&lt;0.88,"A",IF(_xlpm.prev&lt;0.987,"B","C")))</f>
        <v>C</v>
      </c>
      <c r="H83" s="10">
        <f>ABS(CODE(Table3[[#This Row],[Rev class]])-CODE(Table3[[#This Row],[Units class]]))</f>
        <v>0</v>
      </c>
    </row>
    <row r="84" spans="1:8" x14ac:dyDescent="0.2">
      <c r="A84" s="27">
        <v>768</v>
      </c>
      <c r="B84" s="36">
        <v>9899.6696765999968</v>
      </c>
      <c r="C84" s="32">
        <v>0.99627246527492308</v>
      </c>
      <c r="D84" s="37" t="str">
        <f t="shared" si="2"/>
        <v>C</v>
      </c>
      <c r="E84" s="10">
        <f>_xlfn.XLOOKUP(A84,'ABC Analysis'!$G:$G,'ABC Analysis'!H:H,,0)</f>
        <v>33</v>
      </c>
      <c r="F84" s="32">
        <f>_xlfn.XLOOKUP(A84,'ABC Analysis'!G:G,'ABC Analysis'!J:J,,0)</f>
        <v>0.99945985527462466</v>
      </c>
      <c r="G84" s="12" t="str">
        <f>_xlfn.LET(_xlpm.prev,Table3[[#This Row],[Units cum %]]-Table3[[#This Row],[Units]]/SUM(Table3[Units]),IF(_xlpm.prev&lt;0.88,"A",IF(_xlpm.prev&lt;0.987,"B","C")))</f>
        <v>C</v>
      </c>
      <c r="H84" s="10">
        <f>ABS(CODE(Table3[[#This Row],[Rev class]])-CODE(Table3[[#This Row],[Units class]]))</f>
        <v>0</v>
      </c>
    </row>
    <row r="85" spans="1:8" x14ac:dyDescent="0.2">
      <c r="A85" s="27">
        <v>845</v>
      </c>
      <c r="B85" s="36">
        <v>9299.6896961999973</v>
      </c>
      <c r="C85" s="32">
        <v>0.99655609400686196</v>
      </c>
      <c r="D85" s="37" t="str">
        <f t="shared" si="2"/>
        <v>C</v>
      </c>
      <c r="E85" s="10">
        <f>_xlfn.XLOOKUP(A85,'ABC Analysis'!$G:$G,'ABC Analysis'!H:H,,0)</f>
        <v>31</v>
      </c>
      <c r="F85" s="32">
        <f>_xlfn.XLOOKUP(A85,'ABC Analysis'!G:G,'ABC Analysis'!J:J,,0)</f>
        <v>0.99972714338615054</v>
      </c>
      <c r="G85" s="12" t="str">
        <f>_xlfn.LET(_xlpm.prev,Table3[[#This Row],[Units cum %]]-Table3[[#This Row],[Units]]/SUM(Table3[Units]),IF(_xlpm.prev&lt;0.88,"A",IF(_xlpm.prev&lt;0.987,"B","C")))</f>
        <v>C</v>
      </c>
      <c r="H85" s="10">
        <f>ABS(CODE(Table3[[#This Row],[Rev class]])-CODE(Table3[[#This Row],[Units class]]))</f>
        <v>0</v>
      </c>
    </row>
    <row r="86" spans="1:8" x14ac:dyDescent="0.2">
      <c r="A86" s="27">
        <v>666</v>
      </c>
      <c r="B86" s="36">
        <v>9129.1698257000098</v>
      </c>
      <c r="C86" s="32">
        <v>0.99683452209918577</v>
      </c>
      <c r="D86" s="37" t="str">
        <f t="shared" si="2"/>
        <v>C</v>
      </c>
      <c r="E86" s="10">
        <f>_xlfn.XLOOKUP(A86,'ABC Analysis'!$G:$G,'ABC Analysis'!H:H,,0)</f>
        <v>83</v>
      </c>
      <c r="F86" s="32">
        <f>_xlfn.XLOOKUP(A86,'ABC Analysis'!G:G,'ABC Analysis'!J:J,,0)</f>
        <v>0.99606585310847717</v>
      </c>
      <c r="G86" s="12" t="str">
        <f>_xlfn.LET(_xlpm.prev,Table3[[#This Row],[Units cum %]]-Table3[[#This Row],[Units]]/SUM(Table3[Units]),IF(_xlpm.prev&lt;0.88,"A",IF(_xlpm.prev&lt;0.987,"B","C")))</f>
        <v>C</v>
      </c>
      <c r="H86" s="10">
        <f>ABS(CODE(Table3[[#This Row],[Rev class]])-CODE(Table3[[#This Row],[Units class]]))</f>
        <v>0</v>
      </c>
    </row>
    <row r="87" spans="1:8" x14ac:dyDescent="0.2">
      <c r="A87" s="27">
        <v>647</v>
      </c>
      <c r="B87" s="36">
        <v>9044.3303684999919</v>
      </c>
      <c r="C87" s="32">
        <v>0.99711036269574904</v>
      </c>
      <c r="D87" s="37" t="str">
        <f t="shared" si="2"/>
        <v>C</v>
      </c>
      <c r="E87" s="10">
        <f>_xlfn.XLOOKUP(A87,'ABC Analysis'!$G:$G,'ABC Analysis'!H:H,,0)</f>
        <v>67</v>
      </c>
      <c r="F87" s="32">
        <f>_xlfn.XLOOKUP(A87,'ABC Analysis'!G:G,'ABC Analysis'!J:J,,0)</f>
        <v>0.99684822768492298</v>
      </c>
      <c r="G87" s="12" t="str">
        <f>_xlfn.LET(_xlpm.prev,Table3[[#This Row],[Units cum %]]-Table3[[#This Row],[Units]]/SUM(Table3[Units]),IF(_xlpm.prev&lt;0.88,"A",IF(_xlpm.prev&lt;0.987,"B","C")))</f>
        <v>C</v>
      </c>
      <c r="H87" s="10">
        <f>ABS(CODE(Table3[[#This Row],[Rev class]])-CODE(Table3[[#This Row],[Units class]]))</f>
        <v>0</v>
      </c>
    </row>
    <row r="88" spans="1:8" x14ac:dyDescent="0.2">
      <c r="A88" s="27">
        <v>982</v>
      </c>
      <c r="B88" s="36">
        <v>8699.4203189999935</v>
      </c>
      <c r="C88" s="32">
        <v>0.99737568397358578</v>
      </c>
      <c r="D88" s="37" t="str">
        <f t="shared" si="2"/>
        <v>C</v>
      </c>
      <c r="E88" s="10">
        <f>_xlfn.XLOOKUP(A88,'ABC Analysis'!$G:$G,'ABC Analysis'!H:H,,0)</f>
        <v>58</v>
      </c>
      <c r="F88" s="32">
        <f>_xlfn.XLOOKUP(A88,'ABC Analysis'!G:G,'ABC Analysis'!J:J,,0)</f>
        <v>0.99857446340519485</v>
      </c>
      <c r="G88" s="12" t="str">
        <f>_xlfn.LET(_xlpm.prev,Table3[[#This Row],[Units cum %]]-Table3[[#This Row],[Units]]/SUM(Table3[Units]),IF(_xlpm.prev&lt;0.88,"A",IF(_xlpm.prev&lt;0.987,"B","C")))</f>
        <v>C</v>
      </c>
      <c r="H88" s="10">
        <f>ABS(CODE(Table3[[#This Row],[Rev class]])-CODE(Table3[[#This Row],[Units class]]))</f>
        <v>0</v>
      </c>
    </row>
    <row r="89" spans="1:8" x14ac:dyDescent="0.2">
      <c r="A89" s="27">
        <v>715</v>
      </c>
      <c r="B89" s="36">
        <v>8449.3503574999922</v>
      </c>
      <c r="C89" s="32">
        <v>0.99763337843500233</v>
      </c>
      <c r="D89" s="37" t="str">
        <f t="shared" si="2"/>
        <v>C</v>
      </c>
      <c r="E89" s="10">
        <f>_xlfn.XLOOKUP(A89,'ABC Analysis'!$G:$G,'ABC Analysis'!H:H,,0)</f>
        <v>65</v>
      </c>
      <c r="F89" s="32">
        <f>_xlfn.XLOOKUP(A89,'ABC Analysis'!G:G,'ABC Analysis'!J:J,,0)</f>
        <v>0.99721018033594777</v>
      </c>
      <c r="G89" s="12" t="str">
        <f>_xlfn.LET(_xlpm.prev,Table3[[#This Row],[Units cum %]]-Table3[[#This Row],[Units]]/SUM(Table3[Units]),IF(_xlpm.prev&lt;0.88,"A",IF(_xlpm.prev&lt;0.987,"B","C")))</f>
        <v>C</v>
      </c>
      <c r="H89" s="10">
        <f>ABS(CODE(Table3[[#This Row],[Rev class]])-CODE(Table3[[#This Row],[Units class]]))</f>
        <v>0</v>
      </c>
    </row>
    <row r="90" spans="1:8" x14ac:dyDescent="0.2">
      <c r="A90" s="27">
        <v>775</v>
      </c>
      <c r="B90" s="36">
        <v>8441.5499413159941</v>
      </c>
      <c r="C90" s="32">
        <v>0.99789083499362619</v>
      </c>
      <c r="D90" s="37" t="str">
        <f t="shared" si="2"/>
        <v>C</v>
      </c>
      <c r="E90" s="10">
        <f>_xlfn.XLOOKUP(A90,'ABC Analysis'!$G:$G,'ABC Analysis'!H:H,,0)</f>
        <v>845</v>
      </c>
      <c r="F90" s="32">
        <f>_xlfn.XLOOKUP(A90,'ABC Analysis'!G:G,'ABC Analysis'!J:J,,0)</f>
        <v>0.94165880115713474</v>
      </c>
      <c r="G90" s="12" t="str">
        <f>_xlfn.LET(_xlpm.prev,Table3[[#This Row],[Units cum %]]-Table3[[#This Row],[Units]]/SUM(Table3[Units]),IF(_xlpm.prev&lt;0.88,"A",IF(_xlpm.prev&lt;0.987,"B","C")))</f>
        <v>B</v>
      </c>
      <c r="H90" s="10">
        <f>ABS(CODE(Table3[[#This Row],[Rev class]])-CODE(Table3[[#This Row],[Units class]]))</f>
        <v>1</v>
      </c>
    </row>
    <row r="91" spans="1:8" x14ac:dyDescent="0.2">
      <c r="A91" s="27">
        <v>58</v>
      </c>
      <c r="B91" s="36">
        <v>8399.7197255999981</v>
      </c>
      <c r="C91" s="32">
        <v>0.99814701578376452</v>
      </c>
      <c r="D91" s="37" t="str">
        <f t="shared" si="2"/>
        <v>C</v>
      </c>
      <c r="E91" s="10">
        <f>_xlfn.XLOOKUP(A91,'ABC Analysis'!$G:$G,'ABC Analysis'!H:H,,0)</f>
        <v>28</v>
      </c>
      <c r="F91" s="32">
        <f>_xlfn.XLOOKUP(A91,'ABC Analysis'!G:G,'ABC Analysis'!J:J,,0)</f>
        <v>0.99980510241867904</v>
      </c>
      <c r="G91" s="12" t="str">
        <f>_xlfn.LET(_xlpm.prev,Table3[[#This Row],[Units cum %]]-Table3[[#This Row],[Units]]/SUM(Table3[Units]),IF(_xlpm.prev&lt;0.88,"A",IF(_xlpm.prev&lt;0.987,"B","C")))</f>
        <v>C</v>
      </c>
      <c r="H91" s="10">
        <f>ABS(CODE(Table3[[#This Row],[Rev class]])-CODE(Table3[[#This Row],[Units class]]))</f>
        <v>0</v>
      </c>
    </row>
    <row r="92" spans="1:8" x14ac:dyDescent="0.2">
      <c r="A92" s="27">
        <v>127</v>
      </c>
      <c r="B92" s="36">
        <v>8249.7497549999989</v>
      </c>
      <c r="C92" s="32">
        <v>0.99839862268015145</v>
      </c>
      <c r="D92" s="37" t="str">
        <f t="shared" si="2"/>
        <v>C</v>
      </c>
      <c r="E92" s="10">
        <f>_xlfn.XLOOKUP(A92,'ABC Analysis'!$G:$G,'ABC Analysis'!H:H,,0)</f>
        <v>25</v>
      </c>
      <c r="F92" s="32">
        <f>_xlfn.XLOOKUP(A92,'ABC Analysis'!G:G,'ABC Analysis'!J:J,,0)</f>
        <v>0.99994709922792713</v>
      </c>
      <c r="G92" s="12" t="str">
        <f>_xlfn.LET(_xlpm.prev,Table3[[#This Row],[Units cum %]]-Table3[[#This Row],[Units]]/SUM(Table3[Units]),IF(_xlpm.prev&lt;0.88,"A",IF(_xlpm.prev&lt;0.987,"B","C")))</f>
        <v>C</v>
      </c>
      <c r="H92" s="10">
        <f>ABS(CODE(Table3[[#This Row],[Rev class]])-CODE(Table3[[#This Row],[Units class]]))</f>
        <v>0</v>
      </c>
    </row>
    <row r="93" spans="1:8" x14ac:dyDescent="0.2">
      <c r="A93" s="27">
        <v>705</v>
      </c>
      <c r="B93" s="36">
        <v>8159.3198572000074</v>
      </c>
      <c r="C93" s="32">
        <v>0.99864747157943534</v>
      </c>
      <c r="D93" s="37" t="str">
        <f t="shared" si="2"/>
        <v>C</v>
      </c>
      <c r="E93" s="10">
        <f>_xlfn.XLOOKUP(A93,'ABC Analysis'!$G:$G,'ABC Analysis'!H:H,,0)</f>
        <v>68</v>
      </c>
      <c r="F93" s="32">
        <f>_xlfn.XLOOKUP(A93,'ABC Analysis'!G:G,'ABC Analysis'!J:J,,0)</f>
        <v>0.99666168285708712</v>
      </c>
      <c r="G93" s="12" t="str">
        <f>_xlfn.LET(_xlpm.prev,Table3[[#This Row],[Units cum %]]-Table3[[#This Row],[Units]]/SUM(Table3[Units]),IF(_xlpm.prev&lt;0.88,"A",IF(_xlpm.prev&lt;0.987,"B","C")))</f>
        <v>C</v>
      </c>
      <c r="H93" s="10">
        <f>ABS(CODE(Table3[[#This Row],[Rev class]])-CODE(Table3[[#This Row],[Units class]]))</f>
        <v>0</v>
      </c>
    </row>
    <row r="94" spans="1:8" x14ac:dyDescent="0.2">
      <c r="A94" s="27">
        <v>19</v>
      </c>
      <c r="B94" s="36">
        <v>7874.3698677000066</v>
      </c>
      <c r="C94" s="32">
        <v>0.99888762986571722</v>
      </c>
      <c r="D94" s="37" t="str">
        <f t="shared" si="2"/>
        <v>C</v>
      </c>
      <c r="E94" s="10">
        <f>_xlfn.XLOOKUP(A94,'ABC Analysis'!$G:$G,'ABC Analysis'!H:H,,0)</f>
        <v>63</v>
      </c>
      <c r="F94" s="32">
        <f>_xlfn.XLOOKUP(A94,'ABC Analysis'!G:G,'ABC Analysis'!J:J,,0)</f>
        <v>0.99738558815913669</v>
      </c>
      <c r="G94" s="12" t="str">
        <f>_xlfn.LET(_xlpm.prev,Table3[[#This Row],[Units cum %]]-Table3[[#This Row],[Units]]/SUM(Table3[Units]),IF(_xlpm.prev&lt;0.88,"A",IF(_xlpm.prev&lt;0.987,"B","C")))</f>
        <v>C</v>
      </c>
      <c r="H94" s="10">
        <f>ABS(CODE(Table3[[#This Row],[Rev class]])-CODE(Table3[[#This Row],[Units class]]))</f>
        <v>0</v>
      </c>
    </row>
    <row r="95" spans="1:8" x14ac:dyDescent="0.2">
      <c r="A95" s="27">
        <v>61</v>
      </c>
      <c r="B95" s="36">
        <v>7799.7397451999977</v>
      </c>
      <c r="C95" s="32">
        <v>0.99912551202798849</v>
      </c>
      <c r="D95" s="37" t="str">
        <f t="shared" si="2"/>
        <v>C</v>
      </c>
      <c r="E95" s="10">
        <f>_xlfn.XLOOKUP(A95,'ABC Analysis'!$G:$G,'ABC Analysis'!H:H,,0)</f>
        <v>26</v>
      </c>
      <c r="F95" s="32">
        <f>_xlfn.XLOOKUP(A95,'ABC Analysis'!G:G,'ABC Analysis'!J:J,,0)</f>
        <v>0.99987749294888395</v>
      </c>
      <c r="G95" s="12" t="str">
        <f>_xlfn.LET(_xlpm.prev,Table3[[#This Row],[Units cum %]]-Table3[[#This Row],[Units]]/SUM(Table3[Units]),IF(_xlpm.prev&lt;0.88,"A",IF(_xlpm.prev&lt;0.987,"B","C")))</f>
        <v>C</v>
      </c>
      <c r="H95" s="10">
        <f>ABS(CODE(Table3[[#This Row],[Rev class]])-CODE(Table3[[#This Row],[Units class]]))</f>
        <v>0</v>
      </c>
    </row>
    <row r="96" spans="1:8" x14ac:dyDescent="0.2">
      <c r="A96" s="27">
        <v>725</v>
      </c>
      <c r="B96" s="36">
        <v>7776</v>
      </c>
      <c r="C96" s="32">
        <v>0.99936267015816316</v>
      </c>
      <c r="D96" s="37" t="str">
        <f t="shared" si="2"/>
        <v>C</v>
      </c>
      <c r="E96" s="10">
        <f>_xlfn.XLOOKUP(A96,'ABC Analysis'!$G:$G,'ABC Analysis'!H:H,,0)</f>
        <v>72</v>
      </c>
      <c r="F96" s="32">
        <f>_xlfn.XLOOKUP(A96,'ABC Analysis'!G:G,'ABC Analysis'!J:J,,0)</f>
        <v>0.99647235377808963</v>
      </c>
      <c r="G96" s="12" t="str">
        <f>_xlfn.LET(_xlpm.prev,Table3[[#This Row],[Units cum %]]-Table3[[#This Row],[Units]]/SUM(Table3[Units]),IF(_xlpm.prev&lt;0.88,"A",IF(_xlpm.prev&lt;0.987,"B","C")))</f>
        <v>C</v>
      </c>
      <c r="H96" s="10">
        <f>ABS(CODE(Table3[[#This Row],[Rev class]])-CODE(Table3[[#This Row],[Units class]]))</f>
        <v>0</v>
      </c>
    </row>
    <row r="97" spans="1:8" x14ac:dyDescent="0.2">
      <c r="A97" s="27">
        <v>652</v>
      </c>
      <c r="B97" s="36">
        <v>7019.4602969999942</v>
      </c>
      <c r="C97" s="32">
        <v>0.99957675478764785</v>
      </c>
      <c r="D97" s="37" t="str">
        <f t="shared" si="2"/>
        <v>C</v>
      </c>
      <c r="E97" s="10">
        <f>_xlfn.XLOOKUP(A97,'ABC Analysis'!$G:$G,'ABC Analysis'!H:H,,0)</f>
        <v>54</v>
      </c>
      <c r="F97" s="32">
        <f>_xlfn.XLOOKUP(A97,'ABC Analysis'!G:G,'ABC Analysis'!J:J,,0)</f>
        <v>0.99888073103298503</v>
      </c>
      <c r="G97" s="12" t="str">
        <f>_xlfn.LET(_xlpm.prev,Table3[[#This Row],[Units cum %]]-Table3[[#This Row],[Units]]/SUM(Table3[Units]),IF(_xlpm.prev&lt;0.88,"A",IF(_xlpm.prev&lt;0.987,"B","C")))</f>
        <v>C</v>
      </c>
      <c r="H97" s="10">
        <f>ABS(CODE(Table3[[#This Row],[Rev class]])-CODE(Table3[[#This Row],[Units class]]))</f>
        <v>0</v>
      </c>
    </row>
    <row r="98" spans="1:8" x14ac:dyDescent="0.2">
      <c r="A98" s="27">
        <v>311</v>
      </c>
      <c r="B98" s="36">
        <v>5277.5998511999969</v>
      </c>
      <c r="C98" s="32">
        <v>0.99973771488442253</v>
      </c>
      <c r="D98" s="37" t="str">
        <f t="shared" si="2"/>
        <v>C</v>
      </c>
      <c r="E98" s="10">
        <f>_xlfn.XLOOKUP(A98,'ABC Analysis'!$G:$G,'ABC Analysis'!H:H,,0)</f>
        <v>48</v>
      </c>
      <c r="F98" s="32">
        <f>_xlfn.XLOOKUP(A98,'ABC Analysis'!G:G,'ABC Analysis'!J:J,,0)</f>
        <v>0.99915637189799622</v>
      </c>
      <c r="G98" s="12" t="str">
        <f>_xlfn.LET(_xlpm.prev,Table3[[#This Row],[Units cum %]]-Table3[[#This Row],[Units]]/SUM(Table3[Units]),IF(_xlpm.prev&lt;0.88,"A",IF(_xlpm.prev&lt;0.987,"B","C")))</f>
        <v>C</v>
      </c>
      <c r="H98" s="10">
        <f>ABS(CODE(Table3[[#This Row],[Rev class]])-CODE(Table3[[#This Row],[Units class]]))</f>
        <v>0</v>
      </c>
    </row>
    <row r="99" spans="1:8" x14ac:dyDescent="0.2">
      <c r="A99" s="27">
        <v>226</v>
      </c>
      <c r="B99" s="36">
        <v>4199.9299313999991</v>
      </c>
      <c r="C99" s="32">
        <v>0.999865807416495</v>
      </c>
      <c r="D99" s="37" t="str">
        <f t="shared" si="2"/>
        <v>C</v>
      </c>
      <c r="E99" s="10">
        <f>_xlfn.XLOOKUP(A99,'ABC Analysis'!$G:$G,'ABC Analysis'!H:H,,0)</f>
        <v>7</v>
      </c>
      <c r="F99" s="32">
        <f>_xlfn.XLOOKUP(A99,'ABC Analysis'!G:G,'ABC Analysis'!J:J,,0)</f>
        <v>0.99996658898605928</v>
      </c>
      <c r="G99" s="12" t="str">
        <f>_xlfn.LET(_xlpm.prev,Table3[[#This Row],[Units cum %]]-Table3[[#This Row],[Units]]/SUM(Table3[Units]),IF(_xlpm.prev&lt;0.88,"A",IF(_xlpm.prev&lt;0.987,"B","C")))</f>
        <v>C</v>
      </c>
      <c r="H99" s="10">
        <f>ABS(CODE(Table3[[#This Row],[Rev class]])-CODE(Table3[[#This Row],[Units class]]))</f>
        <v>0</v>
      </c>
    </row>
    <row r="100" spans="1:8" x14ac:dyDescent="0.2">
      <c r="A100" s="27">
        <v>860</v>
      </c>
      <c r="B100" s="36">
        <v>2399.9599607999999</v>
      </c>
      <c r="C100" s="32">
        <v>0.99993900314910789</v>
      </c>
      <c r="D100" s="37" t="str">
        <f t="shared" si="2"/>
        <v>C</v>
      </c>
      <c r="E100" s="10">
        <f>_xlfn.XLOOKUP(A100,'ABC Analysis'!$G:$G,'ABC Analysis'!H:H,,0)</f>
        <v>4</v>
      </c>
      <c r="F100" s="32">
        <f>_xlfn.XLOOKUP(A100,'ABC Analysis'!G:G,'ABC Analysis'!J:J,,0)</f>
        <v>0.99999443149767653</v>
      </c>
      <c r="G100" s="12" t="str">
        <f>_xlfn.LET(_xlpm.prev,Table3[[#This Row],[Units cum %]]-Table3[[#This Row],[Units]]/SUM(Table3[Units]),IF(_xlpm.prev&lt;0.88,"A",IF(_xlpm.prev&lt;0.987,"B","C")))</f>
        <v>C</v>
      </c>
      <c r="H100" s="10">
        <f>ABS(CODE(Table3[[#This Row],[Rev class]])-CODE(Table3[[#This Row],[Units class]]))</f>
        <v>0</v>
      </c>
    </row>
    <row r="101" spans="1:8" x14ac:dyDescent="0.2">
      <c r="A101" s="27">
        <v>60</v>
      </c>
      <c r="B101" s="36">
        <v>1999.9799803999999</v>
      </c>
      <c r="C101" s="32">
        <v>1.0000000000000002</v>
      </c>
      <c r="D101" s="37" t="str">
        <f t="shared" si="2"/>
        <v>C</v>
      </c>
      <c r="E101" s="10">
        <f>_xlfn.XLOOKUP(A101,'ABC Analysis'!$G:$G,'ABC Analysis'!H:H,,0)</f>
        <v>2</v>
      </c>
      <c r="F101" s="32">
        <f>_xlfn.XLOOKUP(A101,'ABC Analysis'!G:G,'ABC Analysis'!J:J,,0)</f>
        <v>1</v>
      </c>
      <c r="G101" s="12" t="str">
        <f>_xlfn.LET(_xlpm.prev,Table3[[#This Row],[Units cum %]]-Table3[[#This Row],[Units]]/SUM(Table3[Units]),IF(_xlpm.prev&lt;0.88,"A",IF(_xlpm.prev&lt;0.987,"B","C")))</f>
        <v>C</v>
      </c>
      <c r="H101" s="10">
        <f>ABS(CODE(Table3[[#This Row],[Rev class]])-CODE(Table3[[#This Row],[Units class]]))</f>
        <v>0</v>
      </c>
    </row>
  </sheetData>
  <mergeCells count="3">
    <mergeCell ref="J35:S36"/>
    <mergeCell ref="J37:S38"/>
    <mergeCell ref="J39:S40"/>
  </mergeCells>
  <phoneticPr fontId="2" type="noConversion"/>
  <pageMargins left="0.7" right="0.7" top="0.75" bottom="0.75" header="0.3" footer="0.3"/>
  <pageSetup orientation="portrait" horizontalDpi="0" verticalDpi="0"/>
  <ignoredErrors>
    <ignoredError sqref="P2:P4" calculatedColumn="1"/>
  </ignoredErrors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7169-225B-C34F-873E-AF2A1A795238}">
  <dimension ref="A1:V103"/>
  <sheetViews>
    <sheetView showGridLines="0" workbookViewId="0">
      <selection activeCell="H14" sqref="H14"/>
    </sheetView>
  </sheetViews>
  <sheetFormatPr baseColWidth="10" defaultRowHeight="16" x14ac:dyDescent="0.2"/>
  <cols>
    <col min="1" max="1" width="13.7109375" style="40" customWidth="1"/>
    <col min="2" max="2" width="25.42578125" style="40" customWidth="1"/>
    <col min="3" max="3" width="12.140625" style="40" customWidth="1"/>
    <col min="4" max="4" width="10.28515625" style="40" customWidth="1"/>
    <col min="5" max="5" width="13.85546875" style="40" customWidth="1"/>
    <col min="6" max="6" width="10.28515625" style="40" customWidth="1"/>
    <col min="7" max="7" width="12" style="40" customWidth="1"/>
    <col min="8" max="8" width="13.7109375" style="40" customWidth="1"/>
    <col min="9" max="9" width="12.7109375" style="40" customWidth="1"/>
    <col min="10" max="10" width="12.28515625" style="40" customWidth="1"/>
    <col min="11" max="11" width="12.5703125" style="40" customWidth="1"/>
    <col min="12" max="12" width="8.5703125" style="42" customWidth="1"/>
    <col min="13" max="13" width="7.28515625" style="40" customWidth="1"/>
    <col min="14" max="14" width="12.28515625" style="43" customWidth="1"/>
    <col min="15" max="15" width="12" style="40" bestFit="1" customWidth="1"/>
    <col min="16" max="16" width="10.7109375" style="40" customWidth="1"/>
    <col min="17" max="17" width="8.85546875" style="40" customWidth="1"/>
    <col min="18" max="18" width="9.28515625" style="40" customWidth="1"/>
    <col min="19" max="19" width="9" style="40" customWidth="1"/>
    <col min="20" max="20" width="13.28515625" style="40" customWidth="1"/>
    <col min="21" max="16384" width="10.7109375" style="40"/>
  </cols>
  <sheetData>
    <row r="1" spans="1:22" x14ac:dyDescent="0.2">
      <c r="A1" s="75" t="s">
        <v>368</v>
      </c>
      <c r="B1" s="41"/>
    </row>
    <row r="3" spans="1:22" s="45" customFormat="1" x14ac:dyDescent="0.2">
      <c r="A3" s="57" t="s">
        <v>361</v>
      </c>
      <c r="B3" s="45" t="s">
        <v>261</v>
      </c>
      <c r="C3" s="65" t="s">
        <v>263</v>
      </c>
      <c r="D3" s="65" t="s">
        <v>287</v>
      </c>
      <c r="E3" s="65" t="s">
        <v>288</v>
      </c>
      <c r="F3" s="65" t="s">
        <v>262</v>
      </c>
      <c r="G3" s="65" t="s">
        <v>264</v>
      </c>
      <c r="H3" s="65" t="s">
        <v>265</v>
      </c>
      <c r="I3" s="65" t="s">
        <v>266</v>
      </c>
      <c r="J3" s="45" t="s">
        <v>267</v>
      </c>
      <c r="K3" s="45" t="s">
        <v>268</v>
      </c>
      <c r="L3" s="63" t="s">
        <v>257</v>
      </c>
      <c r="M3" s="63" t="s">
        <v>289</v>
      </c>
      <c r="N3" s="64" t="s">
        <v>290</v>
      </c>
      <c r="O3" s="63" t="s">
        <v>278</v>
      </c>
      <c r="P3" s="63" t="s">
        <v>279</v>
      </c>
      <c r="Q3" s="62" t="s">
        <v>291</v>
      </c>
      <c r="R3" s="63" t="s">
        <v>280</v>
      </c>
      <c r="S3" s="63" t="s">
        <v>281</v>
      </c>
      <c r="T3" s="52" t="s">
        <v>282</v>
      </c>
      <c r="U3" s="52" t="s">
        <v>292</v>
      </c>
    </row>
    <row r="4" spans="1:22" x14ac:dyDescent="0.2">
      <c r="A4" s="46">
        <v>725</v>
      </c>
      <c r="B4" s="40" t="s">
        <v>86</v>
      </c>
      <c r="C4" s="56">
        <v>51</v>
      </c>
      <c r="D4" s="56">
        <v>2</v>
      </c>
      <c r="E4" s="47">
        <v>0.55434782608695654</v>
      </c>
      <c r="F4" s="48">
        <v>108</v>
      </c>
      <c r="G4" s="48">
        <f>Sim[[#This Row],[Avg daily demand]]*Sim[[#This Row],[Seed days]]</f>
        <v>59.869565217391305</v>
      </c>
      <c r="H4" s="49">
        <f>Sim[[#This Row],[Seed on-hand]]-Sim[[#This Row],[Sept units]]</f>
        <v>57.869565217391305</v>
      </c>
      <c r="I4" s="44">
        <f>Sim[[#This Row],[Sept units]]/30</f>
        <v>6.6666666666666666E-2</v>
      </c>
      <c r="J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4" s="47">
        <f>IFERROR(Sim[[#This Row],[Ending on-hand]]/Sim[[#This Row],[Sept daily rate]],0)</f>
        <v>868.04347826086962</v>
      </c>
      <c r="L4" s="50" t="str">
        <f>_xlfn.XLOOKUP(Sim[[#This Row],[Product ID]],Table3[Product ID],Table3[Rev class],,0)</f>
        <v>C</v>
      </c>
      <c r="M4" s="47">
        <v>2.8194444444444446</v>
      </c>
      <c r="N4" s="43">
        <v>108</v>
      </c>
      <c r="O4" s="47">
        <f>IFERROR(_xlfn.STDEV.S(_xlfn.XLOOKUP(Sim[[#This Row],[Product ID]],Demand!$A$2:$A$101,Demand!$AD$2:$AG$101)),0)</f>
        <v>3.6968455021364721</v>
      </c>
      <c r="P4" s="47">
        <f>Sim[[#This Row],[SigmaMonthly]]/SQRT(30)</f>
        <v>0.67494855771055284</v>
      </c>
      <c r="Q4" s="44">
        <f>_xlfn.NORM.S.INV(_xlfn.XLOOKUP(Sim[[#This Row],[Class]],ServiceTbl[Class],ServiceTbl[Level]))</f>
        <v>1.2815515655446006</v>
      </c>
      <c r="R4" s="48">
        <f>ROUNDUP(Sim[[#This Row],[Z]]*Sim[[#This Row],[SigmaDaily]]*SQRT(Sim[[#This Row],[LT]]),0)</f>
        <v>2</v>
      </c>
      <c r="S4" s="48">
        <f>ROUNDUP(Sim[[#This Row],[Avg daily demand]]*Sim[[#This Row],[LT]]+Sim[[#This Row],[SS]],0)</f>
        <v>4</v>
      </c>
      <c r="T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5601.913043478261</v>
      </c>
      <c r="V4" s="47"/>
    </row>
    <row r="5" spans="1:22" x14ac:dyDescent="0.2">
      <c r="A5" s="46">
        <v>671</v>
      </c>
      <c r="B5" s="40" t="s">
        <v>93</v>
      </c>
      <c r="C5" s="56">
        <v>42</v>
      </c>
      <c r="D5" s="56">
        <v>2</v>
      </c>
      <c r="E5" s="47">
        <v>0.45652173913043476</v>
      </c>
      <c r="F5" s="48">
        <v>122</v>
      </c>
      <c r="G5" s="48">
        <f>Sim[[#This Row],[Avg daily demand]]*Sim[[#This Row],[Seed days]]</f>
        <v>55.695652173913039</v>
      </c>
      <c r="H5" s="49">
        <f>Sim[[#This Row],[Seed on-hand]]-Sim[[#This Row],[Sept units]]</f>
        <v>53.695652173913039</v>
      </c>
      <c r="I5" s="44">
        <f>Sim[[#This Row],[Sept units]]/30</f>
        <v>6.6666666666666666E-2</v>
      </c>
      <c r="J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5" s="47">
        <f>IFERROR(Sim[[#This Row],[Ending on-hand]]/Sim[[#This Row],[Sept daily rate]],0)</f>
        <v>805.43478260869563</v>
      </c>
      <c r="L5" s="50" t="str">
        <f>_xlfn.XLOOKUP(Sim[[#This Row],[Product ID]],Table3[Product ID],Table3[Rev class],,0)</f>
        <v>C</v>
      </c>
      <c r="M5" s="47">
        <v>3.064516129032258</v>
      </c>
      <c r="N5" s="43">
        <v>209.9900055</v>
      </c>
      <c r="O5" s="47">
        <f>IFERROR(_xlfn.STDEV.S(_xlfn.XLOOKUP(Sim[[#This Row],[Product ID]],Demand!$A$2:$A$101,Demand!$AD$2:$AG$101)),0)</f>
        <v>2.2173557826083452</v>
      </c>
      <c r="P5" s="47">
        <f>Sim[[#This Row],[SigmaMonthly]]/SQRT(30)</f>
        <v>0.40483192671637064</v>
      </c>
      <c r="Q5" s="44">
        <f>_xlfn.NORM.S.INV(_xlfn.XLOOKUP(Sim[[#This Row],[Class]],ServiceTbl[Class],ServiceTbl[Level]))</f>
        <v>1.2815515655446006</v>
      </c>
      <c r="R5" s="48">
        <f>ROUNDUP(Sim[[#This Row],[Z]]*Sim[[#This Row],[SigmaDaily]]*SQRT(Sim[[#This Row],[LT]]),0)</f>
        <v>1</v>
      </c>
      <c r="S5" s="48">
        <f>ROUNDUP(Sim[[#This Row],[Avg daily demand]]*Sim[[#This Row],[LT]]+Sim[[#This Row],[SS]],0)</f>
        <v>3</v>
      </c>
      <c r="T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10015.610262326087</v>
      </c>
      <c r="V5" s="47"/>
    </row>
    <row r="6" spans="1:22" x14ac:dyDescent="0.2">
      <c r="A6" s="46">
        <v>625</v>
      </c>
      <c r="B6" s="40" t="s">
        <v>62</v>
      </c>
      <c r="C6" s="56">
        <v>37</v>
      </c>
      <c r="D6" s="56">
        <v>2</v>
      </c>
      <c r="E6" s="47">
        <v>0.40217391304347827</v>
      </c>
      <c r="F6" s="48">
        <v>144</v>
      </c>
      <c r="G6" s="48">
        <f>Sim[[#This Row],[Avg daily demand]]*Sim[[#This Row],[Seed days]]</f>
        <v>57.913043478260875</v>
      </c>
      <c r="H6" s="49">
        <f>Sim[[#This Row],[Seed on-hand]]-Sim[[#This Row],[Sept units]]</f>
        <v>55.913043478260875</v>
      </c>
      <c r="I6" s="44">
        <f>Sim[[#This Row],[Sept units]]/30</f>
        <v>6.6666666666666666E-2</v>
      </c>
      <c r="J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6" s="47">
        <f>IFERROR(Sim[[#This Row],[Ending on-hand]]/Sim[[#This Row],[Sept daily rate]],0)</f>
        <v>838.69565217391312</v>
      </c>
      <c r="L6" s="50" t="str">
        <f>_xlfn.XLOOKUP(Sim[[#This Row],[Product ID]],Table3[Product ID],Table3[Rev class],,0)</f>
        <v>C</v>
      </c>
      <c r="M6" s="47">
        <v>3.0677966101694913</v>
      </c>
      <c r="N6" s="43">
        <v>199.9900055</v>
      </c>
      <c r="O6" s="47">
        <f>IFERROR(_xlfn.STDEV.S(_xlfn.XLOOKUP(Sim[[#This Row],[Product ID]],Demand!$A$2:$A$101,Demand!$AD$2:$AG$101)),0)</f>
        <v>5.7445626465380286</v>
      </c>
      <c r="P6" s="47">
        <f>Sim[[#This Row],[SigmaMonthly]]/SQRT(30)</f>
        <v>1.0488088481701516</v>
      </c>
      <c r="Q6" s="44">
        <f>_xlfn.NORM.S.INV(_xlfn.XLOOKUP(Sim[[#This Row],[Class]],ServiceTbl[Class],ServiceTbl[Level]))</f>
        <v>1.2815515655446006</v>
      </c>
      <c r="R6" s="48">
        <f>ROUNDUP(Sim[[#This Row],[Z]]*Sim[[#This Row],[SigmaDaily]]*SQRT(Sim[[#This Row],[LT]]),0)</f>
        <v>3</v>
      </c>
      <c r="S6" s="48">
        <f>ROUNDUP(Sim[[#This Row],[Avg daily demand]]*Sim[[#This Row],[LT]]+Sim[[#This Row],[SS]],0)</f>
        <v>5</v>
      </c>
      <c r="T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9982.1098397391306</v>
      </c>
      <c r="V6" s="47"/>
    </row>
    <row r="7" spans="1:22" x14ac:dyDescent="0.2">
      <c r="A7" s="46">
        <v>982</v>
      </c>
      <c r="B7" s="40" t="s">
        <v>61</v>
      </c>
      <c r="C7" s="56">
        <v>35</v>
      </c>
      <c r="D7" s="56">
        <v>2</v>
      </c>
      <c r="E7" s="47">
        <v>0.38043478260869568</v>
      </c>
      <c r="F7" s="48">
        <v>14</v>
      </c>
      <c r="G7" s="48">
        <f>Sim[[#This Row],[Avg daily demand]]*Sim[[#This Row],[Seed days]]</f>
        <v>5.3260869565217392</v>
      </c>
      <c r="H7" s="49">
        <f>Sim[[#This Row],[Seed on-hand]]-Sim[[#This Row],[Sept units]]</f>
        <v>3.3260869565217392</v>
      </c>
      <c r="I7" s="44">
        <f>Sim[[#This Row],[Sept units]]/30</f>
        <v>6.6666666666666666E-2</v>
      </c>
      <c r="J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7" s="47">
        <f>IFERROR(Sim[[#This Row],[Ending on-hand]]/Sim[[#This Row],[Sept daily rate]],0)</f>
        <v>49.891304347826086</v>
      </c>
      <c r="L7" s="50" t="str">
        <f>_xlfn.XLOOKUP(Sim[[#This Row],[Product ID]],Table3[Product ID],Table3[Rev class],,0)</f>
        <v>C</v>
      </c>
      <c r="M7" s="47">
        <v>2.8620689655172415</v>
      </c>
      <c r="N7" s="43">
        <v>149.9900055</v>
      </c>
      <c r="O7" s="47">
        <f>IFERROR(_xlfn.STDEV.S(_xlfn.XLOOKUP(Sim[[#This Row],[Product ID]],Demand!$A$2:$A$101,Demand!$AD$2:$AG$101)),0)</f>
        <v>4.4347115652166904</v>
      </c>
      <c r="P7" s="47">
        <f>Sim[[#This Row],[SigmaMonthly]]/SQRT(30)</f>
        <v>0.80966385343274128</v>
      </c>
      <c r="Q7" s="44">
        <f>_xlfn.NORM.S.INV(_xlfn.XLOOKUP(Sim[[#This Row],[Class]],ServiceTbl[Class],ServiceTbl[Level]))</f>
        <v>1.2815515655446006</v>
      </c>
      <c r="R7" s="48">
        <f>ROUNDUP(Sim[[#This Row],[Z]]*Sim[[#This Row],[SigmaDaily]]*SQRT(Sim[[#This Row],[LT]]),0)</f>
        <v>2</v>
      </c>
      <c r="S7" s="48">
        <f>ROUNDUP(Sim[[#This Row],[Avg daily demand]]*Sim[[#This Row],[LT]]+Sim[[#This Row],[SS]],0)</f>
        <v>4</v>
      </c>
      <c r="T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" s="47"/>
    </row>
    <row r="8" spans="1:22" x14ac:dyDescent="0.2">
      <c r="A8" s="46">
        <v>705</v>
      </c>
      <c r="B8" s="40" t="s">
        <v>89</v>
      </c>
      <c r="C8" s="56">
        <v>48</v>
      </c>
      <c r="D8" s="56">
        <v>3</v>
      </c>
      <c r="E8" s="47">
        <v>0.52173913043478259</v>
      </c>
      <c r="F8" s="48">
        <v>72</v>
      </c>
      <c r="G8" s="48">
        <f>Sim[[#This Row],[Avg daily demand]]*Sim[[#This Row],[Seed days]]</f>
        <v>37.565217391304344</v>
      </c>
      <c r="H8" s="49">
        <f>Sim[[#This Row],[Seed on-hand]]-Sim[[#This Row],[Sept units]]</f>
        <v>34.565217391304344</v>
      </c>
      <c r="I8" s="44">
        <f>Sim[[#This Row],[Sept units]]/30</f>
        <v>0.1</v>
      </c>
      <c r="J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8" s="47">
        <f>IFERROR(Sim[[#This Row],[Ending on-hand]]/Sim[[#This Row],[Sept daily rate]],0)</f>
        <v>345.65217391304344</v>
      </c>
      <c r="L8" s="50" t="str">
        <f>_xlfn.XLOOKUP(Sim[[#This Row],[Product ID]],Table3[Product ID],Table3[Rev class],,0)</f>
        <v>C</v>
      </c>
      <c r="M8" s="47">
        <v>3.0882352941176472</v>
      </c>
      <c r="N8" s="43">
        <v>119.98999790000001</v>
      </c>
      <c r="O8" s="47">
        <f>IFERROR(_xlfn.STDEV.S(_xlfn.XLOOKUP(Sim[[#This Row],[Product ID]],Demand!$A$2:$A$101,Demand!$AD$2:$AG$101)),0)</f>
        <v>3.7749172176353749</v>
      </c>
      <c r="P8" s="47">
        <f>Sim[[#This Row],[SigmaMonthly]]/SQRT(30)</f>
        <v>0.68920243760451105</v>
      </c>
      <c r="Q8" s="44">
        <f>_xlfn.NORM.S.INV(_xlfn.XLOOKUP(Sim[[#This Row],[Class]],ServiceTbl[Class],ServiceTbl[Level]))</f>
        <v>1.2815515655446006</v>
      </c>
      <c r="R8" s="48">
        <f>ROUNDUP(Sim[[#This Row],[Z]]*Sim[[#This Row],[SigmaDaily]]*SQRT(Sim[[#This Row],[LT]]),0)</f>
        <v>2</v>
      </c>
      <c r="S8" s="48">
        <f>ROUNDUP(Sim[[#This Row],[Avg daily demand]]*Sim[[#This Row],[LT]]+Sim[[#This Row],[SS]],0)</f>
        <v>4</v>
      </c>
      <c r="T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3067.570381095652</v>
      </c>
      <c r="V8" s="47"/>
    </row>
    <row r="9" spans="1:22" x14ac:dyDescent="0.2">
      <c r="A9" s="46">
        <v>216</v>
      </c>
      <c r="B9" s="40" t="s">
        <v>70</v>
      </c>
      <c r="C9" s="56">
        <v>48</v>
      </c>
      <c r="D9" s="56">
        <v>3</v>
      </c>
      <c r="E9" s="47">
        <v>0.52173913043478259</v>
      </c>
      <c r="F9" s="48">
        <v>137</v>
      </c>
      <c r="G9" s="48">
        <f>Sim[[#This Row],[Avg daily demand]]*Sim[[#This Row],[Seed days]]</f>
        <v>71.478260869565219</v>
      </c>
      <c r="H9" s="49">
        <f>Sim[[#This Row],[Seed on-hand]]-Sim[[#This Row],[Sept units]]</f>
        <v>68.478260869565219</v>
      </c>
      <c r="I9" s="44">
        <f>Sim[[#This Row],[Sept units]]/30</f>
        <v>0.1</v>
      </c>
      <c r="J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9" s="47">
        <f>IFERROR(Sim[[#This Row],[Ending on-hand]]/Sim[[#This Row],[Sept daily rate]],0)</f>
        <v>684.78260869565213</v>
      </c>
      <c r="L9" s="50" t="str">
        <f>_xlfn.XLOOKUP(Sim[[#This Row],[Product ID]],Table3[Product ID],Table3[Rev class],,0)</f>
        <v>C</v>
      </c>
      <c r="M9" s="47">
        <v>2.9838709677419355</v>
      </c>
      <c r="N9" s="43">
        <v>189</v>
      </c>
      <c r="O9" s="47">
        <f>IFERROR(_xlfn.STDEV.S(_xlfn.XLOOKUP(Sim[[#This Row],[Product ID]],Demand!$A$2:$A$101,Demand!$AD$2:$AG$101)),0)</f>
        <v>5.7373048260195016</v>
      </c>
      <c r="P9" s="47">
        <f>Sim[[#This Row],[SigmaMonthly]]/SQRT(30)</f>
        <v>1.0474837574980445</v>
      </c>
      <c r="Q9" s="44">
        <f>_xlfn.NORM.S.INV(_xlfn.XLOOKUP(Sim[[#This Row],[Class]],ServiceTbl[Class],ServiceTbl[Level]))</f>
        <v>1.2815515655446006</v>
      </c>
      <c r="R9" s="48">
        <f>ROUNDUP(Sim[[#This Row],[Z]]*Sim[[#This Row],[SigmaDaily]]*SQRT(Sim[[#This Row],[LT]]),0)</f>
        <v>3</v>
      </c>
      <c r="S9" s="48">
        <f>ROUNDUP(Sim[[#This Row],[Avg daily demand]]*Sim[[#This Row],[LT]]+Sim[[#This Row],[SS]],0)</f>
        <v>5</v>
      </c>
      <c r="T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11241.391304347826</v>
      </c>
      <c r="V9" s="47"/>
    </row>
    <row r="10" spans="1:22" x14ac:dyDescent="0.2">
      <c r="A10" s="46">
        <v>24</v>
      </c>
      <c r="B10" s="40" t="s">
        <v>18</v>
      </c>
      <c r="C10" s="56">
        <v>139</v>
      </c>
      <c r="D10" s="56">
        <v>9</v>
      </c>
      <c r="E10" s="47">
        <v>1.5108695652173914</v>
      </c>
      <c r="F10" s="48">
        <v>44</v>
      </c>
      <c r="G10" s="48">
        <f>Sim[[#This Row],[Avg daily demand]]*Sim[[#This Row],[Seed days]]</f>
        <v>66.478260869565219</v>
      </c>
      <c r="H10" s="49">
        <f>Sim[[#This Row],[Seed on-hand]]-Sim[[#This Row],[Sept units]]</f>
        <v>57.478260869565219</v>
      </c>
      <c r="I10" s="44">
        <f>Sim[[#This Row],[Sept units]]/30</f>
        <v>0.3</v>
      </c>
      <c r="J1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0" s="47">
        <f>IFERROR(Sim[[#This Row],[Ending on-hand]]/Sim[[#This Row],[Sept daily rate]],0)</f>
        <v>191.59420289855075</v>
      </c>
      <c r="L10" s="50" t="str">
        <f>_xlfn.XLOOKUP(Sim[[#This Row],[Product ID]],Table3[Product ID],Table3[Rev class],,0)</f>
        <v>B</v>
      </c>
      <c r="M10" s="47">
        <v>3.0547945205479454</v>
      </c>
      <c r="N10" s="43">
        <v>79.989997860000003</v>
      </c>
      <c r="O10" s="47">
        <f>IFERROR(_xlfn.STDEV.S(_xlfn.XLOOKUP(Sim[[#This Row],[Product ID]],Demand!$A$2:$A$101,Demand!$AD$2:$AG$101)),0)</f>
        <v>12.553220038433698</v>
      </c>
      <c r="P10" s="47">
        <f>Sim[[#This Row],[SigmaMonthly]]/SQRT(30)</f>
        <v>2.2918939281253348</v>
      </c>
      <c r="Q10" s="44">
        <f>_xlfn.NORM.S.INV(_xlfn.XLOOKUP(Sim[[#This Row],[Class]],ServiceTbl[Class],ServiceTbl[Level]))</f>
        <v>1.6448536269514715</v>
      </c>
      <c r="R10" s="48">
        <f>ROUNDUP(Sim[[#This Row],[Z]]*Sim[[#This Row],[SigmaDaily]]*SQRT(Sim[[#This Row],[LT]]),0)</f>
        <v>7</v>
      </c>
      <c r="S10" s="48">
        <f>ROUNDUP(Sim[[#This Row],[Avg daily demand]]*Sim[[#This Row],[LT]]+Sim[[#This Row],[SS]],0)</f>
        <v>12</v>
      </c>
      <c r="T1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2437.9560217330436</v>
      </c>
      <c r="V10" s="47"/>
    </row>
    <row r="11" spans="1:22" x14ac:dyDescent="0.2">
      <c r="A11" s="46">
        <v>666</v>
      </c>
      <c r="B11" s="40" t="s">
        <v>94</v>
      </c>
      <c r="C11" s="56">
        <v>61</v>
      </c>
      <c r="D11" s="56">
        <v>4</v>
      </c>
      <c r="E11" s="47">
        <v>0.66304347826086951</v>
      </c>
      <c r="F11" s="48">
        <v>112</v>
      </c>
      <c r="G11" s="48">
        <f>Sim[[#This Row],[Avg daily demand]]*Sim[[#This Row],[Seed days]]</f>
        <v>74.260869565217391</v>
      </c>
      <c r="H11" s="49">
        <f>Sim[[#This Row],[Seed on-hand]]-Sim[[#This Row],[Sept units]]</f>
        <v>70.260869565217391</v>
      </c>
      <c r="I11" s="44">
        <f>Sim[[#This Row],[Sept units]]/30</f>
        <v>0.13333333333333333</v>
      </c>
      <c r="J1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1" s="47">
        <f>IFERROR(Sim[[#This Row],[Ending on-hand]]/Sim[[#This Row],[Sept daily rate]],0)</f>
        <v>526.95652173913049</v>
      </c>
      <c r="L11" s="50" t="str">
        <f>_xlfn.XLOOKUP(Sim[[#This Row],[Product ID]],Table3[Product ID],Table3[Rev class],,0)</f>
        <v>C</v>
      </c>
      <c r="M11" s="47">
        <v>3.1325301204819276</v>
      </c>
      <c r="N11" s="43">
        <v>109.98999790000001</v>
      </c>
      <c r="O11" s="47">
        <f>IFERROR(_xlfn.STDEV.S(_xlfn.XLOOKUP(Sim[[#This Row],[Product ID]],Demand!$A$2:$A$101,Demand!$AD$2:$AG$101)),0)</f>
        <v>5.3541261347363367</v>
      </c>
      <c r="P11" s="47">
        <f>Sim[[#This Row],[SigmaMonthly]]/SQRT(30)</f>
        <v>0.9775252199076786</v>
      </c>
      <c r="Q11" s="44">
        <f>_xlfn.NORM.S.INV(_xlfn.XLOOKUP(Sim[[#This Row],[Class]],ServiceTbl[Class],ServiceTbl[Level]))</f>
        <v>1.2815515655446006</v>
      </c>
      <c r="R11" s="48">
        <f>ROUNDUP(Sim[[#This Row],[Z]]*Sim[[#This Row],[SigmaDaily]]*SQRT(Sim[[#This Row],[LT]]),0)</f>
        <v>3</v>
      </c>
      <c r="S11" s="48">
        <f>ROUNDUP(Sim[[#This Row],[Avg daily demand]]*Sim[[#This Row],[LT]]+Sim[[#This Row],[SS]],0)</f>
        <v>6</v>
      </c>
      <c r="T1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6408.1129211304351</v>
      </c>
      <c r="V11" s="47"/>
    </row>
    <row r="12" spans="1:22" x14ac:dyDescent="0.2">
      <c r="A12" s="46">
        <v>786</v>
      </c>
      <c r="B12" s="40" t="s">
        <v>76</v>
      </c>
      <c r="C12" s="56">
        <v>42</v>
      </c>
      <c r="D12" s="56">
        <v>3</v>
      </c>
      <c r="E12" s="47">
        <v>0.45652173913043476</v>
      </c>
      <c r="F12" s="48">
        <v>138</v>
      </c>
      <c r="G12" s="48">
        <f>Sim[[#This Row],[Avg daily demand]]*Sim[[#This Row],[Seed days]]</f>
        <v>62.999999999999993</v>
      </c>
      <c r="H12" s="49">
        <f>Sim[[#This Row],[Seed on-hand]]-Sim[[#This Row],[Sept units]]</f>
        <v>59.999999999999993</v>
      </c>
      <c r="I12" s="44">
        <f>Sim[[#This Row],[Sept units]]/30</f>
        <v>0.1</v>
      </c>
      <c r="J1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2" s="47">
        <f>IFERROR(Sim[[#This Row],[Ending on-hand]]/Sim[[#This Row],[Sept daily rate]],0)</f>
        <v>599.99999999999989</v>
      </c>
      <c r="L12" s="50" t="str">
        <f>_xlfn.XLOOKUP(Sim[[#This Row],[Product ID]],Table3[Product ID],Table3[Rev class],,0)</f>
        <v>C</v>
      </c>
      <c r="M12" s="47">
        <v>2.873015873015873</v>
      </c>
      <c r="N12" s="43">
        <v>179.9900055</v>
      </c>
      <c r="O12" s="47">
        <f>IFERROR(_xlfn.STDEV.S(_xlfn.XLOOKUP(Sim[[#This Row],[Product ID]],Demand!$A$2:$A$101,Demand!$AD$2:$AG$101)),0)</f>
        <v>0.81649658092772603</v>
      </c>
      <c r="P12" s="47">
        <f>Sim[[#This Row],[SigmaMonthly]]/SQRT(30)</f>
        <v>0.14907119849998599</v>
      </c>
      <c r="Q12" s="44">
        <f>_xlfn.NORM.S.INV(_xlfn.XLOOKUP(Sim[[#This Row],[Class]],ServiceTbl[Class],ServiceTbl[Level]))</f>
        <v>1.2815515655446006</v>
      </c>
      <c r="R12" s="48">
        <f>ROUNDUP(Sim[[#This Row],[Z]]*Sim[[#This Row],[SigmaDaily]]*SQRT(Sim[[#This Row],[LT]]),0)</f>
        <v>1</v>
      </c>
      <c r="S12" s="48">
        <f>ROUNDUP(Sim[[#This Row],[Avg daily demand]]*Sim[[#This Row],[LT]]+Sim[[#This Row],[SS]],0)</f>
        <v>3</v>
      </c>
      <c r="T1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9179.4902804999983</v>
      </c>
      <c r="V12" s="47"/>
    </row>
    <row r="13" spans="1:22" x14ac:dyDescent="0.2">
      <c r="A13" s="46">
        <v>858</v>
      </c>
      <c r="B13" s="40" t="s">
        <v>68</v>
      </c>
      <c r="C13" s="56">
        <v>37</v>
      </c>
      <c r="D13" s="56">
        <v>3</v>
      </c>
      <c r="E13" s="47">
        <v>0.40217391304347827</v>
      </c>
      <c r="F13" s="48">
        <v>16</v>
      </c>
      <c r="G13" s="48">
        <f>Sim[[#This Row],[Avg daily demand]]*Sim[[#This Row],[Seed days]]</f>
        <v>6.4347826086956523</v>
      </c>
      <c r="H13" s="49">
        <f>Sim[[#This Row],[Seed on-hand]]-Sim[[#This Row],[Sept units]]</f>
        <v>3.4347826086956523</v>
      </c>
      <c r="I13" s="44">
        <f>Sim[[#This Row],[Sept units]]/30</f>
        <v>0.1</v>
      </c>
      <c r="J1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3" s="47">
        <f>IFERROR(Sim[[#This Row],[Ending on-hand]]/Sim[[#This Row],[Sept daily rate]],0)</f>
        <v>34.347826086956523</v>
      </c>
      <c r="L13" s="50" t="str">
        <f>_xlfn.XLOOKUP(Sim[[#This Row],[Product ID]],Table3[Product ID],Table3[Rev class],,0)</f>
        <v>C</v>
      </c>
      <c r="M13" s="47">
        <v>2.9464285714285716</v>
      </c>
      <c r="N13" s="43">
        <v>199.9900055</v>
      </c>
      <c r="O13" s="47">
        <f>IFERROR(_xlfn.STDEV.S(_xlfn.XLOOKUP(Sim[[#This Row],[Product ID]],Demand!$A$2:$A$101,Demand!$AD$2:$AG$101)),0)</f>
        <v>1.8929694486000912</v>
      </c>
      <c r="P13" s="47">
        <f>Sim[[#This Row],[SigmaMonthly]]/SQRT(30)</f>
        <v>0.34560735588879532</v>
      </c>
      <c r="Q13" s="44">
        <f>_xlfn.NORM.S.INV(_xlfn.XLOOKUP(Sim[[#This Row],[Class]],ServiceTbl[Class],ServiceTbl[Level]))</f>
        <v>1.2815515655446006</v>
      </c>
      <c r="R13" s="48">
        <f>ROUNDUP(Sim[[#This Row],[Z]]*Sim[[#This Row],[SigmaDaily]]*SQRT(Sim[[#This Row],[LT]]),0)</f>
        <v>1</v>
      </c>
      <c r="S13" s="48">
        <f>ROUNDUP(Sim[[#This Row],[Avg daily demand]]*Sim[[#This Row],[LT]]+Sim[[#This Row],[SS]],0)</f>
        <v>3</v>
      </c>
      <c r="T1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1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13" s="47"/>
    </row>
    <row r="14" spans="1:22" x14ac:dyDescent="0.2">
      <c r="A14" s="46">
        <v>652</v>
      </c>
      <c r="B14" s="40" t="s">
        <v>95</v>
      </c>
      <c r="C14" s="56">
        <v>36</v>
      </c>
      <c r="D14" s="56">
        <v>3</v>
      </c>
      <c r="E14" s="47">
        <v>0.39130434782608697</v>
      </c>
      <c r="F14" s="48">
        <v>105</v>
      </c>
      <c r="G14" s="48">
        <f>Sim[[#This Row],[Avg daily demand]]*Sim[[#This Row],[Seed days]]</f>
        <v>41.086956521739133</v>
      </c>
      <c r="H14" s="49">
        <f>Sim[[#This Row],[Seed on-hand]]-Sim[[#This Row],[Sept units]]</f>
        <v>38.086956521739133</v>
      </c>
      <c r="I14" s="44">
        <f>Sim[[#This Row],[Sept units]]/30</f>
        <v>0.1</v>
      </c>
      <c r="J1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4" s="47">
        <f>IFERROR(Sim[[#This Row],[Ending on-hand]]/Sim[[#This Row],[Sept daily rate]],0)</f>
        <v>380.86956521739131</v>
      </c>
      <c r="L14" s="50" t="str">
        <f>_xlfn.XLOOKUP(Sim[[#This Row],[Product ID]],Table3[Product ID],Table3[Rev class],,0)</f>
        <v>C</v>
      </c>
      <c r="M14" s="47">
        <v>3.074074074074074</v>
      </c>
      <c r="N14" s="43">
        <v>129.9900055</v>
      </c>
      <c r="O14" s="47">
        <f>IFERROR(_xlfn.STDEV.S(_xlfn.XLOOKUP(Sim[[#This Row],[Product ID]],Demand!$A$2:$A$101,Demand!$AD$2:$AG$101)),0)</f>
        <v>2.2173557826083452</v>
      </c>
      <c r="P14" s="47">
        <f>Sim[[#This Row],[SigmaMonthly]]/SQRT(30)</f>
        <v>0.40483192671637064</v>
      </c>
      <c r="Q14" s="44">
        <f>_xlfn.NORM.S.INV(_xlfn.XLOOKUP(Sim[[#This Row],[Class]],ServiceTbl[Class],ServiceTbl[Level]))</f>
        <v>1.2815515655446006</v>
      </c>
      <c r="R14" s="48">
        <f>ROUNDUP(Sim[[#This Row],[Z]]*Sim[[#This Row],[SigmaDaily]]*SQRT(Sim[[#This Row],[LT]]),0)</f>
        <v>1</v>
      </c>
      <c r="S14" s="48">
        <f>ROUNDUP(Sim[[#This Row],[Avg daily demand]]*Sim[[#This Row],[LT]]+Sim[[#This Row],[SS]],0)</f>
        <v>3</v>
      </c>
      <c r="T1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3781.0136382391306</v>
      </c>
      <c r="V14" s="47"/>
    </row>
    <row r="15" spans="1:22" x14ac:dyDescent="0.2">
      <c r="A15" s="46">
        <v>607</v>
      </c>
      <c r="B15" s="40" t="s">
        <v>63</v>
      </c>
      <c r="C15" s="56">
        <v>47</v>
      </c>
      <c r="D15" s="56">
        <v>4</v>
      </c>
      <c r="E15" s="47">
        <v>0.51086956521739135</v>
      </c>
      <c r="F15" s="48">
        <v>78</v>
      </c>
      <c r="G15" s="48">
        <f>Sim[[#This Row],[Avg daily demand]]*Sim[[#This Row],[Seed days]]</f>
        <v>39.847826086956523</v>
      </c>
      <c r="H15" s="49">
        <f>Sim[[#This Row],[Seed on-hand]]-Sim[[#This Row],[Sept units]]</f>
        <v>35.847826086956523</v>
      </c>
      <c r="I15" s="44">
        <f>Sim[[#This Row],[Sept units]]/30</f>
        <v>0.13333333333333333</v>
      </c>
      <c r="J1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5" s="47">
        <f>IFERROR(Sim[[#This Row],[Ending on-hand]]/Sim[[#This Row],[Sept daily rate]],0)</f>
        <v>268.85869565217394</v>
      </c>
      <c r="L15" s="50" t="str">
        <f>_xlfn.XLOOKUP(Sim[[#This Row],[Product ID]],Table3[Product ID],Table3[Rev class],,0)</f>
        <v>B</v>
      </c>
      <c r="M15" s="47">
        <v>3.0810810810810811</v>
      </c>
      <c r="N15" s="43">
        <v>249.9900055</v>
      </c>
      <c r="O15" s="47">
        <f>IFERROR(_xlfn.STDEV.S(_xlfn.XLOOKUP(Sim[[#This Row],[Product ID]],Demand!$A$2:$A$101,Demand!$AD$2:$AG$101)),0)</f>
        <v>6.6520673478250352</v>
      </c>
      <c r="P15" s="47">
        <f>Sim[[#This Row],[SigmaMonthly]]/SQRT(30)</f>
        <v>1.2144957801491119</v>
      </c>
      <c r="Q15" s="44">
        <f>_xlfn.NORM.S.INV(_xlfn.XLOOKUP(Sim[[#This Row],[Class]],ServiceTbl[Class],ServiceTbl[Level]))</f>
        <v>1.6448536269514715</v>
      </c>
      <c r="R15" s="48">
        <f>ROUNDUP(Sim[[#This Row],[Z]]*Sim[[#This Row],[SigmaDaily]]*SQRT(Sim[[#This Row],[LT]]),0)</f>
        <v>4</v>
      </c>
      <c r="S15" s="48">
        <f>ROUNDUP(Sim[[#This Row],[Avg daily demand]]*Sim[[#This Row],[LT]]+Sim[[#This Row],[SS]],0)</f>
        <v>6</v>
      </c>
      <c r="T1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5961.7181746413044</v>
      </c>
      <c r="V15" s="47"/>
    </row>
    <row r="16" spans="1:22" x14ac:dyDescent="0.2">
      <c r="A16" s="46">
        <v>715</v>
      </c>
      <c r="B16" s="40" t="s">
        <v>88</v>
      </c>
      <c r="C16" s="56">
        <v>47</v>
      </c>
      <c r="D16" s="56">
        <v>4</v>
      </c>
      <c r="E16" s="47">
        <v>0.51086956521739135</v>
      </c>
      <c r="F16" s="48">
        <v>33</v>
      </c>
      <c r="G16" s="48">
        <f>Sim[[#This Row],[Avg daily demand]]*Sim[[#This Row],[Seed days]]</f>
        <v>16.858695652173914</v>
      </c>
      <c r="H16" s="49">
        <f>Sim[[#This Row],[Seed on-hand]]-Sim[[#This Row],[Sept units]]</f>
        <v>12.858695652173914</v>
      </c>
      <c r="I16" s="44">
        <f>Sim[[#This Row],[Sept units]]/30</f>
        <v>0.13333333333333333</v>
      </c>
      <c r="J1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6" s="47">
        <f>IFERROR(Sim[[#This Row],[Ending on-hand]]/Sim[[#This Row],[Sept daily rate]],0)</f>
        <v>96.440217391304358</v>
      </c>
      <c r="L16" s="50" t="str">
        <f>_xlfn.XLOOKUP(Sim[[#This Row],[Product ID]],Table3[Product ID],Table3[Rev class],,0)</f>
        <v>C</v>
      </c>
      <c r="M16" s="47">
        <v>3.1538461538461537</v>
      </c>
      <c r="N16" s="43">
        <v>129.9900055</v>
      </c>
      <c r="O16" s="47">
        <f>IFERROR(_xlfn.STDEV.S(_xlfn.XLOOKUP(Sim[[#This Row],[Product ID]],Demand!$A$2:$A$101,Demand!$AD$2:$AG$101)),0)</f>
        <v>7.5883682918881403</v>
      </c>
      <c r="P16" s="47">
        <f>Sim[[#This Row],[SigmaMonthly]]/SQRT(30)</f>
        <v>1.3854401627080271</v>
      </c>
      <c r="Q16" s="44">
        <f>_xlfn.NORM.S.INV(_xlfn.XLOOKUP(Sim[[#This Row],[Class]],ServiceTbl[Class],ServiceTbl[Level]))</f>
        <v>1.2815515655446006</v>
      </c>
      <c r="R16" s="48">
        <f>ROUNDUP(Sim[[#This Row],[Z]]*Sim[[#This Row],[SigmaDaily]]*SQRT(Sim[[#This Row],[LT]]),0)</f>
        <v>4</v>
      </c>
      <c r="S16" s="48">
        <f>ROUNDUP(Sim[[#This Row],[Avg daily demand]]*Sim[[#This Row],[LT]]+Sim[[#This Row],[SS]],0)</f>
        <v>6</v>
      </c>
      <c r="T1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111.62185254891315</v>
      </c>
      <c r="V16" s="47"/>
    </row>
    <row r="17" spans="1:22" x14ac:dyDescent="0.2">
      <c r="A17" s="46">
        <v>19</v>
      </c>
      <c r="B17" s="40" t="s">
        <v>71</v>
      </c>
      <c r="C17" s="56">
        <v>44</v>
      </c>
      <c r="D17" s="56">
        <v>4</v>
      </c>
      <c r="E17" s="47">
        <v>0.47826086956521741</v>
      </c>
      <c r="F17" s="48">
        <v>34</v>
      </c>
      <c r="G17" s="48">
        <f>Sim[[#This Row],[Avg daily demand]]*Sim[[#This Row],[Seed days]]</f>
        <v>16.260869565217391</v>
      </c>
      <c r="H17" s="49">
        <f>Sim[[#This Row],[Seed on-hand]]-Sim[[#This Row],[Sept units]]</f>
        <v>12.260869565217391</v>
      </c>
      <c r="I17" s="44">
        <f>Sim[[#This Row],[Sept units]]/30</f>
        <v>0.13333333333333333</v>
      </c>
      <c r="J1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7" s="47">
        <f>IFERROR(Sim[[#This Row],[Ending on-hand]]/Sim[[#This Row],[Sept daily rate]],0)</f>
        <v>91.956521739130437</v>
      </c>
      <c r="L17" s="50" t="str">
        <f>_xlfn.XLOOKUP(Sim[[#This Row],[Product ID]],Table3[Product ID],Table3[Rev class],,0)</f>
        <v>C</v>
      </c>
      <c r="M17" s="47">
        <v>2.9523809523809526</v>
      </c>
      <c r="N17" s="43">
        <v>124.98999790000001</v>
      </c>
      <c r="O17" s="47">
        <f>IFERROR(_xlfn.STDEV.S(_xlfn.XLOOKUP(Sim[[#This Row],[Product ID]],Demand!$A$2:$A$101,Demand!$AD$2:$AG$101)),0)</f>
        <v>1.8929694486000912</v>
      </c>
      <c r="P17" s="47">
        <f>Sim[[#This Row],[SigmaMonthly]]/SQRT(30)</f>
        <v>0.34560735588879532</v>
      </c>
      <c r="Q17" s="44">
        <f>_xlfn.NORM.S.INV(_xlfn.XLOOKUP(Sim[[#This Row],[Class]],ServiceTbl[Class],ServiceTbl[Level]))</f>
        <v>1.2815515655446006</v>
      </c>
      <c r="R17" s="48">
        <f>ROUNDUP(Sim[[#This Row],[Z]]*Sim[[#This Row],[SigmaDaily]]*SQRT(Sim[[#This Row],[LT]]),0)</f>
        <v>1</v>
      </c>
      <c r="S17" s="48">
        <f>ROUNDUP(Sim[[#This Row],[Avg daily demand]]*Sim[[#This Row],[LT]]+Sim[[#This Row],[SS]],0)</f>
        <v>3</v>
      </c>
      <c r="T1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32.606086408695575</v>
      </c>
      <c r="V17" s="47"/>
    </row>
    <row r="18" spans="1:22" x14ac:dyDescent="0.2">
      <c r="A18" s="46">
        <v>359</v>
      </c>
      <c r="B18" s="40" t="s">
        <v>29</v>
      </c>
      <c r="C18" s="56">
        <v>130</v>
      </c>
      <c r="D18" s="56">
        <v>13</v>
      </c>
      <c r="E18" s="47">
        <v>1.4130434782608696</v>
      </c>
      <c r="F18" s="48">
        <v>113</v>
      </c>
      <c r="G18" s="48">
        <f>Sim[[#This Row],[Avg daily demand]]*Sim[[#This Row],[Seed days]]</f>
        <v>159.67391304347828</v>
      </c>
      <c r="H18" s="49">
        <f>Sim[[#This Row],[Seed on-hand]]-Sim[[#This Row],[Sept units]]</f>
        <v>146.67391304347828</v>
      </c>
      <c r="I18" s="44">
        <f>Sim[[#This Row],[Sept units]]/30</f>
        <v>0.43333333333333335</v>
      </c>
      <c r="J1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18" s="47">
        <f>IFERROR(Sim[[#This Row],[Ending on-hand]]/Sim[[#This Row],[Sept daily rate]],0)</f>
        <v>338.47826086956525</v>
      </c>
      <c r="L18" s="50" t="str">
        <f>_xlfn.XLOOKUP(Sim[[#This Row],[Product ID]],Table3[Product ID],Table3[Rev class],,0)</f>
        <v>B</v>
      </c>
      <c r="M18" s="47">
        <v>2.9848484848484849</v>
      </c>
      <c r="N18" s="43">
        <v>99.989997860000003</v>
      </c>
      <c r="O18" s="47">
        <f>IFERROR(_xlfn.STDEV.S(_xlfn.XLOOKUP(Sim[[#This Row],[Product ID]],Demand!$A$2:$A$101,Demand!$AD$2:$AG$101)),0)</f>
        <v>12.038133853162901</v>
      </c>
      <c r="P18" s="47">
        <f>Sim[[#This Row],[SigmaMonthly]]/SQRT(30)</f>
        <v>2.1978524872146346</v>
      </c>
      <c r="Q18" s="44">
        <f>_xlfn.NORM.S.INV(_xlfn.XLOOKUP(Sim[[#This Row],[Class]],ServiceTbl[Class],ServiceTbl[Level]))</f>
        <v>1.6448536269514715</v>
      </c>
      <c r="R18" s="48">
        <f>ROUNDUP(Sim[[#This Row],[Z]]*Sim[[#This Row],[SigmaDaily]]*SQRT(Sim[[#This Row],[LT]]),0)</f>
        <v>7</v>
      </c>
      <c r="S18" s="48">
        <f>ROUNDUP(Sim[[#This Row],[Avg daily demand]]*Sim[[#This Row],[LT]]+Sim[[#This Row],[SS]],0)</f>
        <v>12</v>
      </c>
      <c r="T1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1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10766.314334795219</v>
      </c>
      <c r="V18" s="47"/>
    </row>
    <row r="19" spans="1:22" x14ac:dyDescent="0.2">
      <c r="A19" s="46">
        <v>311</v>
      </c>
      <c r="B19" s="40" t="s">
        <v>50</v>
      </c>
      <c r="C19" s="56">
        <v>30</v>
      </c>
      <c r="D19" s="56">
        <v>3</v>
      </c>
      <c r="E19" s="47">
        <v>0.32608695652173914</v>
      </c>
      <c r="F19" s="48">
        <v>6</v>
      </c>
      <c r="G19" s="48">
        <f>Sim[[#This Row],[Avg daily demand]]*Sim[[#This Row],[Seed days]]</f>
        <v>1.9565217391304348</v>
      </c>
      <c r="H19" s="49">
        <f>Sim[[#This Row],[Seed on-hand]]-Sim[[#This Row],[Sept units]]</f>
        <v>-1.0434782608695652</v>
      </c>
      <c r="I19" s="44">
        <f>Sim[[#This Row],[Sept units]]/30</f>
        <v>0.1</v>
      </c>
      <c r="J1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Shortage risk</v>
      </c>
      <c r="K19" s="47">
        <f>IFERROR(Sim[[#This Row],[Ending on-hand]]/Sim[[#This Row],[Sept daily rate]],0)</f>
        <v>-10.434782608695651</v>
      </c>
      <c r="L19" s="50" t="str">
        <f>_xlfn.XLOOKUP(Sim[[#This Row],[Product ID]],Table3[Product ID],Table3[Rev class],,0)</f>
        <v>C</v>
      </c>
      <c r="M19" s="47">
        <v>3.3541666666666665</v>
      </c>
      <c r="N19" s="43">
        <v>109.9499969</v>
      </c>
      <c r="O19" s="47">
        <f>IFERROR(_xlfn.STDEV.S(_xlfn.XLOOKUP(Sim[[#This Row],[Product ID]],Demand!$A$2:$A$101,Demand!$AD$2:$AG$101)),0)</f>
        <v>1.707825127659933</v>
      </c>
      <c r="P19" s="47">
        <f>Sim[[#This Row],[SigmaMonthly]]/SQRT(30)</f>
        <v>0.31180478223116176</v>
      </c>
      <c r="Q19" s="44">
        <f>_xlfn.NORM.S.INV(_xlfn.XLOOKUP(Sim[[#This Row],[Class]],ServiceTbl[Class],ServiceTbl[Level]))</f>
        <v>1.2815515655446006</v>
      </c>
      <c r="R19" s="48">
        <f>ROUNDUP(Sim[[#This Row],[Z]]*Sim[[#This Row],[SigmaDaily]]*SQRT(Sim[[#This Row],[LT]]),0)</f>
        <v>1</v>
      </c>
      <c r="S19" s="48">
        <f>ROUNDUP(Sim[[#This Row],[Avg daily demand]]*Sim[[#This Row],[LT]]+Sim[[#This Row],[SS]],0)</f>
        <v>3</v>
      </c>
      <c r="T1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1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19" s="47"/>
    </row>
    <row r="20" spans="1:22" x14ac:dyDescent="0.2">
      <c r="A20" s="46">
        <v>677</v>
      </c>
      <c r="B20" s="40" t="s">
        <v>92</v>
      </c>
      <c r="C20" s="56">
        <v>124</v>
      </c>
      <c r="D20" s="56">
        <v>13</v>
      </c>
      <c r="E20" s="47">
        <v>1.3478260869565217</v>
      </c>
      <c r="F20" s="48">
        <v>116</v>
      </c>
      <c r="G20" s="48">
        <f>Sim[[#This Row],[Avg daily demand]]*Sim[[#This Row],[Seed days]]</f>
        <v>156.34782608695653</v>
      </c>
      <c r="H20" s="49">
        <f>Sim[[#This Row],[Seed on-hand]]-Sim[[#This Row],[Sept units]]</f>
        <v>143.34782608695653</v>
      </c>
      <c r="I20" s="44">
        <f>Sim[[#This Row],[Sept units]]/30</f>
        <v>0.43333333333333335</v>
      </c>
      <c r="J2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0" s="47">
        <f>IFERROR(Sim[[#This Row],[Ending on-hand]]/Sim[[#This Row],[Sept daily rate]],0)</f>
        <v>330.80267558528431</v>
      </c>
      <c r="L20" s="50" t="str">
        <f>_xlfn.XLOOKUP(Sim[[#This Row],[Product ID]],Table3[Product ID],Table3[Rev class],,0)</f>
        <v>B</v>
      </c>
      <c r="M20" s="47">
        <v>3</v>
      </c>
      <c r="N20" s="43">
        <v>99.989997860000003</v>
      </c>
      <c r="O20" s="47">
        <f>IFERROR(_xlfn.STDEV.S(_xlfn.XLOOKUP(Sim[[#This Row],[Product ID]],Demand!$A$2:$A$101,Demand!$AD$2:$AG$101)),0)</f>
        <v>7.544313531837517</v>
      </c>
      <c r="P20" s="47">
        <f>Sim[[#This Row],[SigmaMonthly]]/SQRT(30)</f>
        <v>1.3773969007596258</v>
      </c>
      <c r="Q20" s="44">
        <f>_xlfn.NORM.S.INV(_xlfn.XLOOKUP(Sim[[#This Row],[Class]],ServiceTbl[Class],ServiceTbl[Level]))</f>
        <v>1.6448536269514715</v>
      </c>
      <c r="R20" s="48">
        <f>ROUNDUP(Sim[[#This Row],[Z]]*Sim[[#This Row],[SigmaDaily]]*SQRT(Sim[[#This Row],[LT]]),0)</f>
        <v>4</v>
      </c>
      <c r="S20" s="48">
        <f>ROUNDUP(Sim[[#This Row],[Avg daily demand]]*Sim[[#This Row],[LT]]+Sim[[#This Row],[SS]],0)</f>
        <v>9</v>
      </c>
      <c r="T2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2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10433.738907130435</v>
      </c>
      <c r="V20" s="47"/>
    </row>
    <row r="21" spans="1:22" x14ac:dyDescent="0.2">
      <c r="A21" s="46">
        <v>647</v>
      </c>
      <c r="B21" s="40" t="s">
        <v>96</v>
      </c>
      <c r="C21" s="56">
        <v>37</v>
      </c>
      <c r="D21" s="56">
        <v>4</v>
      </c>
      <c r="E21" s="47">
        <v>0.40217391304347827</v>
      </c>
      <c r="F21" s="48">
        <v>21</v>
      </c>
      <c r="G21" s="48">
        <f>Sim[[#This Row],[Avg daily demand]]*Sim[[#This Row],[Seed days]]</f>
        <v>8.445652173913043</v>
      </c>
      <c r="H21" s="49">
        <f>Sim[[#This Row],[Seed on-hand]]-Sim[[#This Row],[Sept units]]</f>
        <v>4.445652173913043</v>
      </c>
      <c r="I21" s="44">
        <f>Sim[[#This Row],[Sept units]]/30</f>
        <v>0.13333333333333333</v>
      </c>
      <c r="J2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1" s="47">
        <f>IFERROR(Sim[[#This Row],[Ending on-hand]]/Sim[[#This Row],[Sept daily rate]],0)</f>
        <v>33.342391304347821</v>
      </c>
      <c r="L21" s="50" t="str">
        <f>_xlfn.XLOOKUP(Sim[[#This Row],[Product ID]],Table3[Product ID],Table3[Rev class],,0)</f>
        <v>C</v>
      </c>
      <c r="M21" s="47">
        <v>3.1641791044776117</v>
      </c>
      <c r="N21" s="43">
        <v>134.9900055</v>
      </c>
      <c r="O21" s="47">
        <f>IFERROR(_xlfn.STDEV.S(_xlfn.XLOOKUP(Sim[[#This Row],[Product ID]],Demand!$A$2:$A$101,Demand!$AD$2:$AG$101)),0)</f>
        <v>6.4807406984078604</v>
      </c>
      <c r="P21" s="47">
        <f>Sim[[#This Row],[SigmaMonthly]]/SQRT(30)</f>
        <v>1.1832159566199232</v>
      </c>
      <c r="Q21" s="44">
        <f>_xlfn.NORM.S.INV(_xlfn.XLOOKUP(Sim[[#This Row],[Class]],ServiceTbl[Class],ServiceTbl[Level]))</f>
        <v>1.2815515655446006</v>
      </c>
      <c r="R21" s="48">
        <f>ROUNDUP(Sim[[#This Row],[Z]]*Sim[[#This Row],[SigmaDaily]]*SQRT(Sim[[#This Row],[LT]]),0)</f>
        <v>3</v>
      </c>
      <c r="S21" s="48">
        <f>ROUNDUP(Sim[[#This Row],[Avg daily demand]]*Sim[[#This Row],[LT]]+Sim[[#This Row],[SS]],0)</f>
        <v>5</v>
      </c>
      <c r="T2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2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21" s="47"/>
    </row>
    <row r="22" spans="1:22" x14ac:dyDescent="0.2">
      <c r="A22" s="46">
        <v>981</v>
      </c>
      <c r="B22" s="40" t="s">
        <v>57</v>
      </c>
      <c r="C22" s="56">
        <v>119</v>
      </c>
      <c r="D22" s="56">
        <v>13</v>
      </c>
      <c r="E22" s="47">
        <v>1.2934782608695652</v>
      </c>
      <c r="F22" s="48">
        <v>62</v>
      </c>
      <c r="G22" s="48">
        <f>Sim[[#This Row],[Avg daily demand]]*Sim[[#This Row],[Seed days]]</f>
        <v>80.195652173913047</v>
      </c>
      <c r="H22" s="49">
        <f>Sim[[#This Row],[Seed on-hand]]-Sim[[#This Row],[Sept units]]</f>
        <v>67.195652173913047</v>
      </c>
      <c r="I22" s="44">
        <f>Sim[[#This Row],[Sept units]]/30</f>
        <v>0.43333333333333335</v>
      </c>
      <c r="J2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2" s="47">
        <f>IFERROR(Sim[[#This Row],[Ending on-hand]]/Sim[[#This Row],[Sept daily rate]],0)</f>
        <v>155.06688963210703</v>
      </c>
      <c r="L22" s="50" t="str">
        <f>_xlfn.XLOOKUP(Sim[[#This Row],[Product ID]],Table3[Product ID],Table3[Rev class],,0)</f>
        <v>B</v>
      </c>
      <c r="M22" s="47">
        <v>3.1481481481481484</v>
      </c>
      <c r="N22" s="43">
        <v>99</v>
      </c>
      <c r="O22" s="47">
        <f>IFERROR(_xlfn.STDEV.S(_xlfn.XLOOKUP(Sim[[#This Row],[Product ID]],Demand!$A$2:$A$101,Demand!$AD$2:$AG$101)),0)</f>
        <v>11.269427669584644</v>
      </c>
      <c r="P22" s="47">
        <f>Sim[[#This Row],[SigmaMonthly]]/SQRT(30)</f>
        <v>2.0575065816014617</v>
      </c>
      <c r="Q22" s="44">
        <f>_xlfn.NORM.S.INV(_xlfn.XLOOKUP(Sim[[#This Row],[Class]],ServiceTbl[Class],ServiceTbl[Level]))</f>
        <v>1.6448536269514715</v>
      </c>
      <c r="R22" s="48">
        <f>ROUNDUP(Sim[[#This Row],[Z]]*Sim[[#This Row],[SigmaDaily]]*SQRT(Sim[[#This Row],[LT]]),0)</f>
        <v>7</v>
      </c>
      <c r="S22" s="48">
        <f>ROUNDUP(Sim[[#This Row],[Avg daily demand]]*Sim[[#This Row],[LT]]+Sim[[#This Row],[SS]],0)</f>
        <v>12</v>
      </c>
      <c r="T2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2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2791.3695652173915</v>
      </c>
      <c r="V22" s="47"/>
    </row>
    <row r="23" spans="1:22" x14ac:dyDescent="0.2">
      <c r="A23" s="46">
        <v>730</v>
      </c>
      <c r="B23" s="40" t="s">
        <v>84</v>
      </c>
      <c r="C23" s="56">
        <v>128</v>
      </c>
      <c r="D23" s="56">
        <v>14</v>
      </c>
      <c r="E23" s="47">
        <v>1.3913043478260869</v>
      </c>
      <c r="F23" s="48">
        <v>22</v>
      </c>
      <c r="G23" s="48">
        <f>Sim[[#This Row],[Avg daily demand]]*Sim[[#This Row],[Seed days]]</f>
        <v>30.608695652173914</v>
      </c>
      <c r="H23" s="49">
        <f>Sim[[#This Row],[Seed on-hand]]-Sim[[#This Row],[Sept units]]</f>
        <v>16.608695652173914</v>
      </c>
      <c r="I23" s="44">
        <f>Sim[[#This Row],[Sept units]]/30</f>
        <v>0.46666666666666667</v>
      </c>
      <c r="J2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3" s="47">
        <f>IFERROR(Sim[[#This Row],[Ending on-hand]]/Sim[[#This Row],[Sept daily rate]],0)</f>
        <v>35.590062111801245</v>
      </c>
      <c r="L23" s="50" t="str">
        <f>_xlfn.XLOOKUP(Sim[[#This Row],[Product ID]],Table3[Product ID],Table3[Rev class],,0)</f>
        <v>B</v>
      </c>
      <c r="M23" s="47">
        <v>2.875</v>
      </c>
      <c r="N23" s="43">
        <v>80</v>
      </c>
      <c r="O23" s="47">
        <f>IFERROR(_xlfn.STDEV.S(_xlfn.XLOOKUP(Sim[[#This Row],[Product ID]],Demand!$A$2:$A$101,Demand!$AD$2:$AG$101)),0)</f>
        <v>7.6157731058639087</v>
      </c>
      <c r="P23" s="47">
        <f>Sim[[#This Row],[SigmaMonthly]]/SQRT(30)</f>
        <v>1.390443574307614</v>
      </c>
      <c r="Q23" s="44">
        <f>_xlfn.NORM.S.INV(_xlfn.XLOOKUP(Sim[[#This Row],[Class]],ServiceTbl[Class],ServiceTbl[Level]))</f>
        <v>1.6448536269514715</v>
      </c>
      <c r="R23" s="48">
        <f>ROUNDUP(Sim[[#This Row],[Z]]*Sim[[#This Row],[SigmaDaily]]*SQRT(Sim[[#This Row],[LT]]),0)</f>
        <v>4</v>
      </c>
      <c r="S23" s="48">
        <f>ROUNDUP(Sim[[#This Row],[Avg daily demand]]*Sim[[#This Row],[LT]]+Sim[[#This Row],[SS]],0)</f>
        <v>8</v>
      </c>
      <c r="T2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2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23" s="47"/>
    </row>
    <row r="24" spans="1:22" x14ac:dyDescent="0.2">
      <c r="A24" s="46">
        <v>724</v>
      </c>
      <c r="B24" s="40" t="s">
        <v>87</v>
      </c>
      <c r="C24" s="56">
        <v>158</v>
      </c>
      <c r="D24" s="56">
        <v>19</v>
      </c>
      <c r="E24" s="47">
        <v>1.7173913043478262</v>
      </c>
      <c r="F24" s="48">
        <v>16</v>
      </c>
      <c r="G24" s="48">
        <f>Sim[[#This Row],[Avg daily demand]]*Sim[[#This Row],[Seed days]]</f>
        <v>27.478260869565219</v>
      </c>
      <c r="H24" s="49">
        <f>Sim[[#This Row],[Seed on-hand]]-Sim[[#This Row],[Sept units]]</f>
        <v>8.4782608695652186</v>
      </c>
      <c r="I24" s="44">
        <f>Sim[[#This Row],[Sept units]]/30</f>
        <v>0.6333333333333333</v>
      </c>
      <c r="J2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4" s="47">
        <f>IFERROR(Sim[[#This Row],[Ending on-hand]]/Sim[[#This Row],[Sept daily rate]],0)</f>
        <v>13.386727688787188</v>
      </c>
      <c r="L24" s="50" t="str">
        <f>_xlfn.XLOOKUP(Sim[[#This Row],[Product ID]],Table3[Product ID],Table3[Rev class],,0)</f>
        <v>B</v>
      </c>
      <c r="M24" s="47">
        <v>3.028169014084507</v>
      </c>
      <c r="N24" s="43">
        <v>100</v>
      </c>
      <c r="O24" s="47">
        <f>IFERROR(_xlfn.STDEV.S(_xlfn.XLOOKUP(Sim[[#This Row],[Product ID]],Demand!$A$2:$A$101,Demand!$AD$2:$AG$101)),0)</f>
        <v>10.033277962194941</v>
      </c>
      <c r="P24" s="47">
        <f>Sim[[#This Row],[SigmaMonthly]]/SQRT(30)</f>
        <v>1.8318175552045448</v>
      </c>
      <c r="Q24" s="44">
        <f>_xlfn.NORM.S.INV(_xlfn.XLOOKUP(Sim[[#This Row],[Class]],ServiceTbl[Class],ServiceTbl[Level]))</f>
        <v>1.6448536269514715</v>
      </c>
      <c r="R24" s="48">
        <f>ROUNDUP(Sim[[#This Row],[Z]]*Sim[[#This Row],[SigmaDaily]]*SQRT(Sim[[#This Row],[LT]]),0)</f>
        <v>6</v>
      </c>
      <c r="S24" s="48">
        <f>ROUNDUP(Sim[[#This Row],[Avg daily demand]]*Sim[[#This Row],[LT]]+Sim[[#This Row],[SS]],0)</f>
        <v>12</v>
      </c>
      <c r="T2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2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24" s="47"/>
    </row>
    <row r="25" spans="1:22" x14ac:dyDescent="0.2">
      <c r="A25" s="46">
        <v>35</v>
      </c>
      <c r="B25" s="40" t="s">
        <v>67</v>
      </c>
      <c r="C25" s="56">
        <v>38</v>
      </c>
      <c r="D25" s="56">
        <v>5</v>
      </c>
      <c r="E25" s="47">
        <v>0.41304347826086957</v>
      </c>
      <c r="F25" s="48">
        <v>35</v>
      </c>
      <c r="G25" s="48">
        <f>Sim[[#This Row],[Avg daily demand]]*Sim[[#This Row],[Seed days]]</f>
        <v>14.456521739130435</v>
      </c>
      <c r="H25" s="49">
        <f>Sim[[#This Row],[Seed on-hand]]-Sim[[#This Row],[Sept units]]</f>
        <v>9.4565217391304355</v>
      </c>
      <c r="I25" s="44">
        <f>Sim[[#This Row],[Sept units]]/30</f>
        <v>0.16666666666666666</v>
      </c>
      <c r="J2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5" s="47">
        <f>IFERROR(Sim[[#This Row],[Ending on-hand]]/Sim[[#This Row],[Sept daily rate]],0)</f>
        <v>56.739130434782616</v>
      </c>
      <c r="L25" s="50" t="str">
        <f>_xlfn.XLOOKUP(Sim[[#This Row],[Product ID]],Table3[Product ID],Table3[Rev class],,0)</f>
        <v>C</v>
      </c>
      <c r="M25" s="47">
        <v>2.903225806451613</v>
      </c>
      <c r="N25" s="43">
        <v>159.9900055</v>
      </c>
      <c r="O25" s="47">
        <f>IFERROR(_xlfn.STDEV.S(_xlfn.XLOOKUP(Sim[[#This Row],[Product ID]],Demand!$A$2:$A$101,Demand!$AD$2:$AG$101)),0)</f>
        <v>1.707825127659933</v>
      </c>
      <c r="P25" s="47">
        <f>Sim[[#This Row],[SigmaMonthly]]/SQRT(30)</f>
        <v>0.31180478223116176</v>
      </c>
      <c r="Q25" s="44">
        <f>_xlfn.NORM.S.INV(_xlfn.XLOOKUP(Sim[[#This Row],[Class]],ServiceTbl[Class],ServiceTbl[Level]))</f>
        <v>1.2815515655446006</v>
      </c>
      <c r="R25" s="48">
        <f>ROUNDUP(Sim[[#This Row],[Z]]*Sim[[#This Row],[SigmaDaily]]*SQRT(Sim[[#This Row],[LT]]),0)</f>
        <v>1</v>
      </c>
      <c r="S25" s="48">
        <f>ROUNDUP(Sim[[#This Row],[Avg daily demand]]*Sim[[#This Row],[LT]]+Sim[[#This Row],[SS]],0)</f>
        <v>3</v>
      </c>
      <c r="T2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2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25" s="47"/>
    </row>
    <row r="26" spans="1:22" x14ac:dyDescent="0.2">
      <c r="A26" s="46">
        <v>251</v>
      </c>
      <c r="B26" s="40" t="s">
        <v>15</v>
      </c>
      <c r="C26" s="56">
        <v>133</v>
      </c>
      <c r="D26" s="56">
        <v>18</v>
      </c>
      <c r="E26" s="47">
        <v>1.4456521739130435</v>
      </c>
      <c r="F26" s="48">
        <v>73</v>
      </c>
      <c r="G26" s="48">
        <f>Sim[[#This Row],[Avg daily demand]]*Sim[[#This Row],[Seed days]]</f>
        <v>105.53260869565217</v>
      </c>
      <c r="H26" s="49">
        <f>Sim[[#This Row],[Seed on-hand]]-Sim[[#This Row],[Sept units]]</f>
        <v>87.532608695652172</v>
      </c>
      <c r="I26" s="44">
        <f>Sim[[#This Row],[Sept units]]/30</f>
        <v>0.6</v>
      </c>
      <c r="J2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6" s="47">
        <f>IFERROR(Sim[[#This Row],[Ending on-hand]]/Sim[[#This Row],[Sept daily rate]],0)</f>
        <v>145.88768115942028</v>
      </c>
      <c r="L26" s="50" t="str">
        <f>_xlfn.XLOOKUP(Sim[[#This Row],[Product ID]],Table3[Product ID],Table3[Rev class],,0)</f>
        <v>B</v>
      </c>
      <c r="M26" s="47">
        <v>2.9365079365079363</v>
      </c>
      <c r="N26" s="43">
        <v>89.989997860000003</v>
      </c>
      <c r="O26" s="47">
        <f>IFERROR(_xlfn.STDEV.S(_xlfn.XLOOKUP(Sim[[#This Row],[Product ID]],Demand!$A$2:$A$101,Demand!$AD$2:$AG$101)),0)</f>
        <v>9.0184995056457886</v>
      </c>
      <c r="P26" s="47">
        <f>Sim[[#This Row],[SigmaMonthly]]/SQRT(30)</f>
        <v>1.6465452046971292</v>
      </c>
      <c r="Q26" s="44">
        <f>_xlfn.NORM.S.INV(_xlfn.XLOOKUP(Sim[[#This Row],[Class]],ServiceTbl[Class],ServiceTbl[Level]))</f>
        <v>1.6448536269514715</v>
      </c>
      <c r="R26" s="48">
        <f>ROUNDUP(Sim[[#This Row],[Z]]*Sim[[#This Row],[SigmaDaily]]*SQRT(Sim[[#This Row],[LT]]),0)</f>
        <v>5</v>
      </c>
      <c r="S26" s="48">
        <f>ROUNDUP(Sim[[#This Row],[Avg daily demand]]*Sim[[#This Row],[LT]]+Sim[[#This Row],[SS]],0)</f>
        <v>10</v>
      </c>
      <c r="T2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2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3017.5993847619566</v>
      </c>
      <c r="V26" s="47"/>
    </row>
    <row r="27" spans="1:22" x14ac:dyDescent="0.2">
      <c r="A27" s="46">
        <v>78</v>
      </c>
      <c r="B27" s="40" t="s">
        <v>52</v>
      </c>
      <c r="C27" s="56">
        <v>113</v>
      </c>
      <c r="D27" s="56">
        <v>16</v>
      </c>
      <c r="E27" s="47">
        <v>1.2282608695652173</v>
      </c>
      <c r="F27" s="48">
        <v>97</v>
      </c>
      <c r="G27" s="48">
        <f>Sim[[#This Row],[Avg daily demand]]*Sim[[#This Row],[Seed days]]</f>
        <v>119.14130434782608</v>
      </c>
      <c r="H27" s="49">
        <f>Sim[[#This Row],[Seed on-hand]]-Sim[[#This Row],[Sept units]]</f>
        <v>103.14130434782608</v>
      </c>
      <c r="I27" s="44">
        <f>Sim[[#This Row],[Sept units]]/30</f>
        <v>0.53333333333333333</v>
      </c>
      <c r="J2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7" s="47">
        <f>IFERROR(Sim[[#This Row],[Ending on-hand]]/Sim[[#This Row],[Sept daily rate]],0)</f>
        <v>193.38994565217391</v>
      </c>
      <c r="L27" s="50" t="str">
        <f>_xlfn.XLOOKUP(Sim[[#This Row],[Product ID]],Table3[Product ID],Table3[Rev class],,0)</f>
        <v>B</v>
      </c>
      <c r="M27" s="47">
        <v>3.0483870967741935</v>
      </c>
      <c r="N27" s="43">
        <v>99.989997860000003</v>
      </c>
      <c r="O27" s="47">
        <f>IFERROR(_xlfn.STDEV.S(_xlfn.XLOOKUP(Sim[[#This Row],[Product ID]],Demand!$A$2:$A$101,Demand!$AD$2:$AG$101)),0)</f>
        <v>4.6457866215887842</v>
      </c>
      <c r="P27" s="47">
        <f>Sim[[#This Row],[SigmaMonthly]]/SQRT(30)</f>
        <v>0.84820070999996477</v>
      </c>
      <c r="Q27" s="44">
        <f>_xlfn.NORM.S.INV(_xlfn.XLOOKUP(Sim[[#This Row],[Class]],ServiceTbl[Class],ServiceTbl[Level]))</f>
        <v>1.6448536269514715</v>
      </c>
      <c r="R27" s="48">
        <f>ROUNDUP(Sim[[#This Row],[Z]]*Sim[[#This Row],[SigmaDaily]]*SQRT(Sim[[#This Row],[LT]]),0)</f>
        <v>3</v>
      </c>
      <c r="S27" s="48">
        <f>ROUNDUP(Sim[[#This Row],[Avg daily demand]]*Sim[[#This Row],[LT]]+Sim[[#This Row],[SS]],0)</f>
        <v>7</v>
      </c>
      <c r="T2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2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5513.5789037367385</v>
      </c>
      <c r="V27" s="47"/>
    </row>
    <row r="28" spans="1:22" x14ac:dyDescent="0.2">
      <c r="A28" s="46">
        <v>295</v>
      </c>
      <c r="B28" s="40" t="s">
        <v>64</v>
      </c>
      <c r="C28" s="56">
        <v>120</v>
      </c>
      <c r="D28" s="56">
        <v>18</v>
      </c>
      <c r="E28" s="47">
        <v>1.3043478260869565</v>
      </c>
      <c r="F28" s="48">
        <v>132</v>
      </c>
      <c r="G28" s="48">
        <f>Sim[[#This Row],[Avg daily demand]]*Sim[[#This Row],[Seed days]]</f>
        <v>172.17391304347825</v>
      </c>
      <c r="H28" s="49">
        <f>Sim[[#This Row],[Seed on-hand]]-Sim[[#This Row],[Sept units]]</f>
        <v>154.17391304347825</v>
      </c>
      <c r="I28" s="44">
        <f>Sim[[#This Row],[Sept units]]/30</f>
        <v>0.6</v>
      </c>
      <c r="J2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8" s="47">
        <f>IFERROR(Sim[[#This Row],[Ending on-hand]]/Sim[[#This Row],[Sept daily rate]],0)</f>
        <v>256.95652173913044</v>
      </c>
      <c r="L28" s="50" t="str">
        <f>_xlfn.XLOOKUP(Sim[[#This Row],[Product ID]],Table3[Product ID],Table3[Rev class],,0)</f>
        <v>B</v>
      </c>
      <c r="M28" s="47">
        <v>3.0338983050847457</v>
      </c>
      <c r="N28" s="43">
        <v>99.949996949999999</v>
      </c>
      <c r="O28" s="47">
        <f>IFERROR(_xlfn.STDEV.S(_xlfn.XLOOKUP(Sim[[#This Row],[Product ID]],Demand!$A$2:$A$101,Demand!$AD$2:$AG$101)),0)</f>
        <v>8.8835053141576203</v>
      </c>
      <c r="P28" s="47">
        <f>Sim[[#This Row],[SigmaMonthly]]/SQRT(30)</f>
        <v>1.6218987500937152</v>
      </c>
      <c r="Q28" s="44">
        <f>_xlfn.NORM.S.INV(_xlfn.XLOOKUP(Sim[[#This Row],[Class]],ServiceTbl[Class],ServiceTbl[Level]))</f>
        <v>1.6448536269514715</v>
      </c>
      <c r="R28" s="48">
        <f>ROUNDUP(Sim[[#This Row],[Z]]*Sim[[#This Row],[SigmaDaily]]*SQRT(Sim[[#This Row],[LT]]),0)</f>
        <v>5</v>
      </c>
      <c r="S28" s="48">
        <f>ROUNDUP(Sim[[#This Row],[Avg daily demand]]*Sim[[#This Row],[LT]]+Sim[[#This Row],[SS]],0)</f>
        <v>9</v>
      </c>
      <c r="T2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2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10012.382303165215</v>
      </c>
      <c r="V28" s="47"/>
    </row>
    <row r="29" spans="1:22" x14ac:dyDescent="0.2">
      <c r="A29" s="46">
        <v>306</v>
      </c>
      <c r="B29" s="40" t="s">
        <v>12</v>
      </c>
      <c r="C29" s="56">
        <v>119</v>
      </c>
      <c r="D29" s="56">
        <v>18</v>
      </c>
      <c r="E29" s="47">
        <v>1.2934782608695652</v>
      </c>
      <c r="F29" s="48">
        <v>147</v>
      </c>
      <c r="G29" s="48">
        <f>Sim[[#This Row],[Avg daily demand]]*Sim[[#This Row],[Seed days]]</f>
        <v>190.14130434782609</v>
      </c>
      <c r="H29" s="49">
        <f>Sim[[#This Row],[Seed on-hand]]-Sim[[#This Row],[Sept units]]</f>
        <v>172.14130434782609</v>
      </c>
      <c r="I29" s="44">
        <f>Sim[[#This Row],[Sept units]]/30</f>
        <v>0.6</v>
      </c>
      <c r="J2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29" s="47">
        <f>IFERROR(Sim[[#This Row],[Ending on-hand]]/Sim[[#This Row],[Sept daily rate]],0)</f>
        <v>286.9021739130435</v>
      </c>
      <c r="L29" s="50" t="str">
        <f>_xlfn.XLOOKUP(Sim[[#This Row],[Product ID]],Table3[Product ID],Table3[Rev class],,0)</f>
        <v>B</v>
      </c>
      <c r="M29" s="47">
        <v>2.9107142857142856</v>
      </c>
      <c r="N29" s="43">
        <v>89.989997860000003</v>
      </c>
      <c r="O29" s="47">
        <f>IFERROR(_xlfn.STDEV.S(_xlfn.XLOOKUP(Sim[[#This Row],[Product ID]],Demand!$A$2:$A$101,Demand!$AD$2:$AG$101)),0)</f>
        <v>18.39157415774952</v>
      </c>
      <c r="P29" s="47">
        <f>Sim[[#This Row],[SigmaMonthly]]/SQRT(30)</f>
        <v>3.357826678076163</v>
      </c>
      <c r="Q29" s="44">
        <f>_xlfn.NORM.S.INV(_xlfn.XLOOKUP(Sim[[#This Row],[Class]],ServiceTbl[Class],ServiceTbl[Level]))</f>
        <v>1.6448536269514715</v>
      </c>
      <c r="R29" s="48">
        <f>ROUNDUP(Sim[[#This Row],[Z]]*Sim[[#This Row],[SigmaDaily]]*SQRT(Sim[[#This Row],[LT]]),0)</f>
        <v>10</v>
      </c>
      <c r="S29" s="48">
        <f>ROUNDUP(Sim[[#This Row],[Avg daily demand]]*Sim[[#This Row],[LT]]+Sim[[#This Row],[SS]],0)</f>
        <v>14</v>
      </c>
      <c r="T2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SLOW-MOVING</v>
      </c>
      <c r="U2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10631.53572543848</v>
      </c>
      <c r="V29" s="47"/>
    </row>
    <row r="30" spans="1:22" x14ac:dyDescent="0.2">
      <c r="A30" s="46">
        <v>305</v>
      </c>
      <c r="B30" s="40" t="s">
        <v>47</v>
      </c>
      <c r="C30" s="56">
        <v>37</v>
      </c>
      <c r="D30" s="56">
        <v>7</v>
      </c>
      <c r="E30" s="47">
        <v>0.40217391304347827</v>
      </c>
      <c r="F30" s="48">
        <v>36</v>
      </c>
      <c r="G30" s="48">
        <f>Sim[[#This Row],[Avg daily demand]]*Sim[[#This Row],[Seed days]]</f>
        <v>14.478260869565219</v>
      </c>
      <c r="H30" s="49">
        <f>Sim[[#This Row],[Seed on-hand]]-Sim[[#This Row],[Sept units]]</f>
        <v>7.4782608695652186</v>
      </c>
      <c r="I30" s="44">
        <f>Sim[[#This Row],[Sept units]]/30</f>
        <v>0.23333333333333334</v>
      </c>
      <c r="J3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0" s="47">
        <f>IFERROR(Sim[[#This Row],[Ending on-hand]]/Sim[[#This Row],[Sept daily rate]],0)</f>
        <v>32.049689440993795</v>
      </c>
      <c r="L30" s="50" t="str">
        <f>_xlfn.XLOOKUP(Sim[[#This Row],[Product ID]],Table3[Product ID],Table3[Rev class],,0)</f>
        <v>C</v>
      </c>
      <c r="M30" s="47">
        <v>2.9692307692307693</v>
      </c>
      <c r="N30" s="43">
        <v>199</v>
      </c>
      <c r="O30" s="47">
        <f>IFERROR(_xlfn.STDEV.S(_xlfn.XLOOKUP(Sim[[#This Row],[Product ID]],Demand!$A$2:$A$101,Demand!$AD$2:$AG$101)),0)</f>
        <v>3.5</v>
      </c>
      <c r="P30" s="47">
        <f>Sim[[#This Row],[SigmaMonthly]]/SQRT(30)</f>
        <v>0.63900965042269375</v>
      </c>
      <c r="Q30" s="44">
        <f>_xlfn.NORM.S.INV(_xlfn.XLOOKUP(Sim[[#This Row],[Class]],ServiceTbl[Class],ServiceTbl[Level]))</f>
        <v>1.2815515655446006</v>
      </c>
      <c r="R30" s="48">
        <f>ROUNDUP(Sim[[#This Row],[Z]]*Sim[[#This Row],[SigmaDaily]]*SQRT(Sim[[#This Row],[LT]]),0)</f>
        <v>2</v>
      </c>
      <c r="S30" s="48">
        <f>ROUNDUP(Sim[[#This Row],[Avg daily demand]]*Sim[[#This Row],[LT]]+Sim[[#This Row],[SS]],0)</f>
        <v>4</v>
      </c>
      <c r="T3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3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0" s="47"/>
    </row>
    <row r="31" spans="1:22" x14ac:dyDescent="0.2">
      <c r="A31" s="46">
        <v>258</v>
      </c>
      <c r="B31" s="40" t="s">
        <v>53</v>
      </c>
      <c r="C31" s="56">
        <v>134</v>
      </c>
      <c r="D31" s="56">
        <v>29</v>
      </c>
      <c r="E31" s="47">
        <v>1.4565217391304348</v>
      </c>
      <c r="F31" s="48">
        <v>50</v>
      </c>
      <c r="G31" s="48">
        <f>Sim[[#This Row],[Avg daily demand]]*Sim[[#This Row],[Seed days]]</f>
        <v>72.826086956521735</v>
      </c>
      <c r="H31" s="49">
        <f>Sim[[#This Row],[Seed on-hand]]-Sim[[#This Row],[Sept units]]</f>
        <v>43.826086956521735</v>
      </c>
      <c r="I31" s="44">
        <f>Sim[[#This Row],[Sept units]]/30</f>
        <v>0.96666666666666667</v>
      </c>
      <c r="J3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1" s="47">
        <f>IFERROR(Sim[[#This Row],[Ending on-hand]]/Sim[[#This Row],[Sept daily rate]],0)</f>
        <v>45.337331334332831</v>
      </c>
      <c r="L31" s="50" t="str">
        <f>_xlfn.XLOOKUP(Sim[[#This Row],[Product ID]],Table3[Product ID],Table3[Rev class],,0)</f>
        <v>B</v>
      </c>
      <c r="M31" s="47">
        <v>2.8208955223880596</v>
      </c>
      <c r="N31" s="43">
        <v>94.989997860000003</v>
      </c>
      <c r="O31" s="47">
        <f>IFERROR(_xlfn.STDEV.S(_xlfn.XLOOKUP(Sim[[#This Row],[Product ID]],Demand!$A$2:$A$101,Demand!$AD$2:$AG$101)),0)</f>
        <v>13.089435944047908</v>
      </c>
      <c r="P31" s="47">
        <f>Sim[[#This Row],[SigmaMonthly]]/SQRT(30)</f>
        <v>2.3897931105246562</v>
      </c>
      <c r="Q31" s="44">
        <f>_xlfn.NORM.S.INV(_xlfn.XLOOKUP(Sim[[#This Row],[Class]],ServiceTbl[Class],ServiceTbl[Level]))</f>
        <v>1.6448536269514715</v>
      </c>
      <c r="R31" s="48">
        <f>ROUNDUP(Sim[[#This Row],[Z]]*Sim[[#This Row],[SigmaDaily]]*SQRT(Sim[[#This Row],[LT]]),0)</f>
        <v>7</v>
      </c>
      <c r="S31" s="48">
        <f>ROUNDUP(Sim[[#This Row],[Avg daily demand]]*Sim[[#This Row],[LT]]+Sim[[#This Row],[SS]],0)</f>
        <v>12</v>
      </c>
      <c r="T3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3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1" s="47"/>
    </row>
    <row r="32" spans="1:22" x14ac:dyDescent="0.2">
      <c r="A32" s="46">
        <v>777</v>
      </c>
      <c r="B32" s="40" t="s">
        <v>78</v>
      </c>
      <c r="C32" s="56">
        <v>106</v>
      </c>
      <c r="D32" s="56">
        <v>24</v>
      </c>
      <c r="E32" s="47">
        <v>1.1521739130434783</v>
      </c>
      <c r="F32" s="48">
        <v>66</v>
      </c>
      <c r="G32" s="48">
        <f>Sim[[#This Row],[Avg daily demand]]*Sim[[#This Row],[Seed days]]</f>
        <v>76.043478260869563</v>
      </c>
      <c r="H32" s="49">
        <f>Sim[[#This Row],[Seed on-hand]]-Sim[[#This Row],[Sept units]]</f>
        <v>52.043478260869563</v>
      </c>
      <c r="I32" s="44">
        <f>Sim[[#This Row],[Sept units]]/30</f>
        <v>0.8</v>
      </c>
      <c r="J3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2" s="47">
        <f>IFERROR(Sim[[#This Row],[Ending on-hand]]/Sim[[#This Row],[Sept daily rate]],0)</f>
        <v>65.054347826086953</v>
      </c>
      <c r="L32" s="50" t="str">
        <f>_xlfn.XLOOKUP(Sim[[#This Row],[Product ID]],Table3[Product ID],Table3[Rev class],,0)</f>
        <v>B</v>
      </c>
      <c r="M32" s="47">
        <v>2.9090909090909092</v>
      </c>
      <c r="N32" s="43">
        <v>79.989997860000003</v>
      </c>
      <c r="O32" s="47">
        <f>IFERROR(_xlfn.STDEV.S(_xlfn.XLOOKUP(Sim[[#This Row],[Product ID]],Demand!$A$2:$A$101,Demand!$AD$2:$AG$101)),0)</f>
        <v>20.613506898794942</v>
      </c>
      <c r="P32" s="47">
        <f>Sim[[#This Row],[SigmaMonthly]]/SQRT(30)</f>
        <v>3.7634942392527835</v>
      </c>
      <c r="Q32" s="44">
        <f>_xlfn.NORM.S.INV(_xlfn.XLOOKUP(Sim[[#This Row],[Class]],ServiceTbl[Class],ServiceTbl[Level]))</f>
        <v>1.6448536269514715</v>
      </c>
      <c r="R32" s="48">
        <f>ROUNDUP(Sim[[#This Row],[Z]]*Sim[[#This Row],[SigmaDaily]]*SQRT(Sim[[#This Row],[LT]]),0)</f>
        <v>11</v>
      </c>
      <c r="S32" s="48">
        <f>ROUNDUP(Sim[[#This Row],[Avg daily demand]]*Sim[[#This Row],[LT]]+Sim[[#This Row],[SS]],0)</f>
        <v>15</v>
      </c>
      <c r="T3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3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2" s="47"/>
    </row>
    <row r="33" spans="1:22" x14ac:dyDescent="0.2">
      <c r="A33" s="46">
        <v>773</v>
      </c>
      <c r="B33" s="40" t="s">
        <v>80</v>
      </c>
      <c r="C33" s="56">
        <v>33</v>
      </c>
      <c r="D33" s="56">
        <v>8</v>
      </c>
      <c r="E33" s="47">
        <v>0.35869565217391303</v>
      </c>
      <c r="F33" s="48">
        <v>31</v>
      </c>
      <c r="G33" s="48">
        <f>Sim[[#This Row],[Avg daily demand]]*Sim[[#This Row],[Seed days]]</f>
        <v>11.119565217391305</v>
      </c>
      <c r="H33" s="49">
        <f>Sim[[#This Row],[Seed on-hand]]-Sim[[#This Row],[Sept units]]</f>
        <v>3.1195652173913047</v>
      </c>
      <c r="I33" s="44">
        <f>Sim[[#This Row],[Sept units]]/30</f>
        <v>0.26666666666666666</v>
      </c>
      <c r="J3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3" s="47">
        <f>IFERROR(Sim[[#This Row],[Ending on-hand]]/Sim[[#This Row],[Sept daily rate]],0)</f>
        <v>11.698369565217392</v>
      </c>
      <c r="L33" s="50" t="str">
        <f>_xlfn.XLOOKUP(Sim[[#This Row],[Product ID]],Table3[Product ID],Table3[Rev class],,0)</f>
        <v>C</v>
      </c>
      <c r="M33" s="47">
        <v>2.9607843137254903</v>
      </c>
      <c r="N33" s="43">
        <v>249.9900055</v>
      </c>
      <c r="O33" s="47">
        <f>IFERROR(_xlfn.STDEV.S(_xlfn.XLOOKUP(Sim[[#This Row],[Product ID]],Demand!$A$2:$A$101,Demand!$AD$2:$AG$101)),0)</f>
        <v>3.1091263510296048</v>
      </c>
      <c r="P33" s="47">
        <f>Sim[[#This Row],[SigmaMonthly]]/SQRT(30)</f>
        <v>0.56764621219754663</v>
      </c>
      <c r="Q33" s="44">
        <f>_xlfn.NORM.S.INV(_xlfn.XLOOKUP(Sim[[#This Row],[Class]],ServiceTbl[Class],ServiceTbl[Level]))</f>
        <v>1.2815515655446006</v>
      </c>
      <c r="R33" s="48">
        <f>ROUNDUP(Sim[[#This Row],[Z]]*Sim[[#This Row],[SigmaDaily]]*SQRT(Sim[[#This Row],[LT]]),0)</f>
        <v>2</v>
      </c>
      <c r="S33" s="48">
        <f>ROUNDUP(Sim[[#This Row],[Avg daily demand]]*Sim[[#This Row],[LT]]+Sim[[#This Row],[SS]],0)</f>
        <v>4</v>
      </c>
      <c r="T3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3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3" s="47"/>
    </row>
    <row r="34" spans="1:22" x14ac:dyDescent="0.2">
      <c r="A34" s="46">
        <v>646</v>
      </c>
      <c r="B34" s="40" t="s">
        <v>97</v>
      </c>
      <c r="C34" s="56">
        <v>119</v>
      </c>
      <c r="D34" s="56">
        <v>32</v>
      </c>
      <c r="E34" s="47">
        <v>1.2934782608695652</v>
      </c>
      <c r="F34" s="48">
        <v>25</v>
      </c>
      <c r="G34" s="48">
        <f>Sim[[#This Row],[Avg daily demand]]*Sim[[#This Row],[Seed days]]</f>
        <v>32.336956521739133</v>
      </c>
      <c r="H34" s="49">
        <f>Sim[[#This Row],[Seed on-hand]]-Sim[[#This Row],[Sept units]]</f>
        <v>0.3369565217391326</v>
      </c>
      <c r="I34" s="44">
        <f>Sim[[#This Row],[Sept units]]/30</f>
        <v>1.0666666666666667</v>
      </c>
      <c r="J3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4" s="47">
        <f>IFERROR(Sim[[#This Row],[Ending on-hand]]/Sim[[#This Row],[Sept daily rate]],0)</f>
        <v>0.31589673913043681</v>
      </c>
      <c r="L34" s="50" t="str">
        <f>_xlfn.XLOOKUP(Sim[[#This Row],[Product ID]],Table3[Product ID],Table3[Rev class],,0)</f>
        <v>B</v>
      </c>
      <c r="M34" s="47">
        <v>3.2285714285714286</v>
      </c>
      <c r="N34" s="43">
        <v>99.989997860000003</v>
      </c>
      <c r="O34" s="47">
        <f>IFERROR(_xlfn.STDEV.S(_xlfn.XLOOKUP(Sim[[#This Row],[Product ID]],Demand!$A$2:$A$101,Demand!$AD$2:$AG$101)),0)</f>
        <v>12.685293322058685</v>
      </c>
      <c r="P34" s="47">
        <f>Sim[[#This Row],[SigmaMonthly]]/SQRT(30)</f>
        <v>2.3160071003537293</v>
      </c>
      <c r="Q34" s="44">
        <f>_xlfn.NORM.S.INV(_xlfn.XLOOKUP(Sim[[#This Row],[Class]],ServiceTbl[Class],ServiceTbl[Level]))</f>
        <v>1.6448536269514715</v>
      </c>
      <c r="R34" s="48">
        <f>ROUNDUP(Sim[[#This Row],[Z]]*Sim[[#This Row],[SigmaDaily]]*SQRT(Sim[[#This Row],[LT]]),0)</f>
        <v>7</v>
      </c>
      <c r="S34" s="48">
        <f>ROUNDUP(Sim[[#This Row],[Avg daily demand]]*Sim[[#This Row],[LT]]+Sim[[#This Row],[SS]],0)</f>
        <v>12</v>
      </c>
      <c r="T3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3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4" s="47"/>
    </row>
    <row r="35" spans="1:22" x14ac:dyDescent="0.2">
      <c r="A35" s="46">
        <v>365</v>
      </c>
      <c r="B35" s="40" t="s">
        <v>1</v>
      </c>
      <c r="C35" s="56">
        <v>6236</v>
      </c>
      <c r="D35" s="56">
        <v>1959</v>
      </c>
      <c r="E35" s="47">
        <v>67.782608695652172</v>
      </c>
      <c r="F35" s="48">
        <v>15</v>
      </c>
      <c r="G35" s="48">
        <f>Sim[[#This Row],[Avg daily demand]]*Sim[[#This Row],[Seed days]]</f>
        <v>1016.7391304347826</v>
      </c>
      <c r="H35" s="49">
        <f>Sim[[#This Row],[Seed on-hand]]-Sim[[#This Row],[Sept units]]</f>
        <v>-942.26086956521738</v>
      </c>
      <c r="I35" s="44">
        <f>Sim[[#This Row],[Sept units]]/30</f>
        <v>65.3</v>
      </c>
      <c r="J3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Shortage risk</v>
      </c>
      <c r="K35" s="47">
        <f>IFERROR(Sim[[#This Row],[Ending on-hand]]/Sim[[#This Row],[Sept daily rate]],0)</f>
        <v>-14.429722351687863</v>
      </c>
      <c r="L35" s="50" t="str">
        <f>_xlfn.XLOOKUP(Sim[[#This Row],[Product ID]],Table3[Product ID],Table3[Rev class],,0)</f>
        <v>A</v>
      </c>
      <c r="M35" s="47">
        <v>2.9272215349174524</v>
      </c>
      <c r="N35" s="43">
        <v>59.990001679999999</v>
      </c>
      <c r="O35" s="47">
        <f>IFERROR(_xlfn.STDEV.S(_xlfn.XLOOKUP(Sim[[#This Row],[Product ID]],Demand!$A$2:$A$101,Demand!$AD$2:$AG$101)),0)</f>
        <v>184.79425496120453</v>
      </c>
      <c r="P35" s="47">
        <f>Sim[[#This Row],[SigmaMonthly]]/SQRT(30)</f>
        <v>33.738660646537561</v>
      </c>
      <c r="Q35" s="44">
        <f>_xlfn.NORM.S.INV(_xlfn.XLOOKUP(Sim[[#This Row],[Class]],ServiceTbl[Class],ServiceTbl[Level]))</f>
        <v>2.0537489106318221</v>
      </c>
      <c r="R35" s="48">
        <f>ROUNDUP(Sim[[#This Row],[Z]]*Sim[[#This Row],[SigmaDaily]]*SQRT(Sim[[#This Row],[LT]]),0)</f>
        <v>119</v>
      </c>
      <c r="S35" s="48">
        <f>ROUNDUP(Sim[[#This Row],[Avg daily demand]]*Sim[[#This Row],[LT]]+Sim[[#This Row],[SS]],0)</f>
        <v>318</v>
      </c>
      <c r="T3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3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5" s="47"/>
    </row>
    <row r="36" spans="1:22" x14ac:dyDescent="0.2">
      <c r="A36" s="46">
        <v>1014</v>
      </c>
      <c r="B36" s="40" t="s">
        <v>100</v>
      </c>
      <c r="C36" s="56">
        <v>4779</v>
      </c>
      <c r="D36" s="56">
        <v>1502</v>
      </c>
      <c r="E36" s="47">
        <v>51.945652173913047</v>
      </c>
      <c r="F36" s="48">
        <v>22</v>
      </c>
      <c r="G36" s="48">
        <f>Sim[[#This Row],[Avg daily demand]]*Sim[[#This Row],[Seed days]]</f>
        <v>1142.804347826087</v>
      </c>
      <c r="H36" s="49">
        <f>Sim[[#This Row],[Seed on-hand]]-Sim[[#This Row],[Sept units]]</f>
        <v>-359.195652173913</v>
      </c>
      <c r="I36" s="44">
        <f>Sim[[#This Row],[Sept units]]/30</f>
        <v>50.06666666666667</v>
      </c>
      <c r="J3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Shortage risk</v>
      </c>
      <c r="K36" s="47">
        <f>IFERROR(Sim[[#This Row],[Ending on-hand]]/Sim[[#This Row],[Sept daily rate]],0)</f>
        <v>-7.1743472471487282</v>
      </c>
      <c r="L36" s="50" t="str">
        <f>_xlfn.XLOOKUP(Sim[[#This Row],[Product ID]],Table3[Product ID],Table3[Rev class],,0)</f>
        <v>A</v>
      </c>
      <c r="M36" s="47">
        <v>2.9347248576850093</v>
      </c>
      <c r="N36" s="43">
        <v>49.979999540000001</v>
      </c>
      <c r="O36" s="47">
        <f>IFERROR(_xlfn.STDEV.S(_xlfn.XLOOKUP(Sim[[#This Row],[Product ID]],Demand!$A$2:$A$101,Demand!$AD$2:$AG$101)),0)</f>
        <v>73.004566067244497</v>
      </c>
      <c r="P36" s="47">
        <f>Sim[[#This Row],[SigmaMonthly]]/SQRT(30)</f>
        <v>13.328749211968674</v>
      </c>
      <c r="Q36" s="44">
        <f>_xlfn.NORM.S.INV(_xlfn.XLOOKUP(Sim[[#This Row],[Class]],ServiceTbl[Class],ServiceTbl[Level]))</f>
        <v>2.0537489106318221</v>
      </c>
      <c r="R36" s="48">
        <f>ROUNDUP(Sim[[#This Row],[Z]]*Sim[[#This Row],[SigmaDaily]]*SQRT(Sim[[#This Row],[LT]]),0)</f>
        <v>47</v>
      </c>
      <c r="S36" s="48">
        <f>ROUNDUP(Sim[[#This Row],[Avg daily demand]]*Sim[[#This Row],[LT]]+Sim[[#This Row],[SS]],0)</f>
        <v>200</v>
      </c>
      <c r="T3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3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6" s="47"/>
    </row>
    <row r="37" spans="1:22" x14ac:dyDescent="0.2">
      <c r="A37" s="46">
        <v>403</v>
      </c>
      <c r="B37" s="40" t="s">
        <v>16</v>
      </c>
      <c r="C37" s="56">
        <v>1976</v>
      </c>
      <c r="D37" s="56">
        <v>631</v>
      </c>
      <c r="E37" s="47">
        <v>21.478260869565219</v>
      </c>
      <c r="F37" s="48">
        <v>83</v>
      </c>
      <c r="G37" s="48">
        <f>Sim[[#This Row],[Avg daily demand]]*Sim[[#This Row],[Seed days]]</f>
        <v>1782.6956521739132</v>
      </c>
      <c r="H37" s="49">
        <f>Sim[[#This Row],[Seed on-hand]]-Sim[[#This Row],[Sept units]]</f>
        <v>1151.6956521739132</v>
      </c>
      <c r="I37" s="44">
        <f>Sim[[#This Row],[Sept units]]/30</f>
        <v>21.033333333333335</v>
      </c>
      <c r="J3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7" s="47">
        <f>IFERROR(Sim[[#This Row],[Ending on-hand]]/Sim[[#This Row],[Sept daily rate]],0)</f>
        <v>54.755736236477645</v>
      </c>
      <c r="L37" s="50" t="str">
        <f>_xlfn.XLOOKUP(Sim[[#This Row],[Product ID]],Table3[Product ID],Table3[Rev class],,0)</f>
        <v>A</v>
      </c>
      <c r="M37" s="47">
        <v>2.9375971365327556</v>
      </c>
      <c r="N37" s="43">
        <v>129.9900055</v>
      </c>
      <c r="O37" s="47">
        <f>IFERROR(_xlfn.STDEV.S(_xlfn.XLOOKUP(Sim[[#This Row],[Product ID]],Demand!$A$2:$A$101,Demand!$AD$2:$AG$101)),0)</f>
        <v>23.796008068581589</v>
      </c>
      <c r="P37" s="47">
        <f>Sim[[#This Row],[SigmaMonthly]]/SQRT(30)</f>
        <v>4.3445367992456916</v>
      </c>
      <c r="Q37" s="44">
        <f>_xlfn.NORM.S.INV(_xlfn.XLOOKUP(Sim[[#This Row],[Class]],ServiceTbl[Class],ServiceTbl[Level]))</f>
        <v>2.0537489106318221</v>
      </c>
      <c r="R37" s="48">
        <f>ROUNDUP(Sim[[#This Row],[Z]]*Sim[[#This Row],[SigmaDaily]]*SQRT(Sim[[#This Row],[LT]]),0)</f>
        <v>16</v>
      </c>
      <c r="S37" s="48">
        <f>ROUNDUP(Sim[[#This Row],[Avg daily demand]]*Sim[[#This Row],[LT]]+Sim[[#This Row],[SS]],0)</f>
        <v>80</v>
      </c>
      <c r="T3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3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7" s="47"/>
    </row>
    <row r="38" spans="1:22" x14ac:dyDescent="0.2">
      <c r="A38" s="46">
        <v>1073</v>
      </c>
      <c r="B38" s="40" t="s">
        <v>98</v>
      </c>
      <c r="C38" s="56">
        <v>1381</v>
      </c>
      <c r="D38" s="56">
        <v>446</v>
      </c>
      <c r="E38" s="47">
        <v>15.010869565217391</v>
      </c>
      <c r="F38" s="48">
        <v>44</v>
      </c>
      <c r="G38" s="48">
        <f>Sim[[#This Row],[Avg daily demand]]*Sim[[#This Row],[Seed days]]</f>
        <v>660.47826086956525</v>
      </c>
      <c r="H38" s="49">
        <f>Sim[[#This Row],[Seed on-hand]]-Sim[[#This Row],[Sept units]]</f>
        <v>214.47826086956525</v>
      </c>
      <c r="I38" s="44">
        <f>Sim[[#This Row],[Sept units]]/30</f>
        <v>14.866666666666667</v>
      </c>
      <c r="J3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38" s="47">
        <f>IFERROR(Sim[[#This Row],[Ending on-hand]]/Sim[[#This Row],[Sept daily rate]],0)</f>
        <v>14.426788847728604</v>
      </c>
      <c r="L38" s="50" t="str">
        <f>_xlfn.XLOOKUP(Sim[[#This Row],[Product ID]],Table3[Product ID],Table3[Rev class],,0)</f>
        <v>A</v>
      </c>
      <c r="M38" s="47">
        <v>2.9136010799865</v>
      </c>
      <c r="N38" s="43">
        <v>199.9900055</v>
      </c>
      <c r="O38" s="47">
        <f>IFERROR(_xlfn.STDEV.S(_xlfn.XLOOKUP(Sim[[#This Row],[Product ID]],Demand!$A$2:$A$101,Demand!$AD$2:$AG$101)),0)</f>
        <v>27.183021661814323</v>
      </c>
      <c r="P38" s="47">
        <f>Sim[[#This Row],[SigmaMonthly]]/SQRT(30)</f>
        <v>4.9629180484424236</v>
      </c>
      <c r="Q38" s="44">
        <f>_xlfn.NORM.S.INV(_xlfn.XLOOKUP(Sim[[#This Row],[Class]],ServiceTbl[Class],ServiceTbl[Level]))</f>
        <v>2.0537489106318221</v>
      </c>
      <c r="R38" s="48">
        <f>ROUNDUP(Sim[[#This Row],[Z]]*Sim[[#This Row],[SigmaDaily]]*SQRT(Sim[[#This Row],[LT]]),0)</f>
        <v>18</v>
      </c>
      <c r="S38" s="48">
        <f>ROUNDUP(Sim[[#This Row],[Avg daily demand]]*Sim[[#This Row],[LT]]+Sim[[#This Row],[SS]],0)</f>
        <v>62</v>
      </c>
      <c r="T3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3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8" s="47"/>
    </row>
    <row r="39" spans="1:22" x14ac:dyDescent="0.2">
      <c r="A39" s="46">
        <v>191</v>
      </c>
      <c r="B39" s="40" t="s">
        <v>6</v>
      </c>
      <c r="C39" s="56">
        <v>3123</v>
      </c>
      <c r="D39" s="56">
        <v>1050</v>
      </c>
      <c r="E39" s="47">
        <v>33.945652173913047</v>
      </c>
      <c r="F39" s="48">
        <v>13</v>
      </c>
      <c r="G39" s="48">
        <f>Sim[[#This Row],[Avg daily demand]]*Sim[[#This Row],[Seed days]]</f>
        <v>441.29347826086962</v>
      </c>
      <c r="H39" s="49">
        <f>Sim[[#This Row],[Seed on-hand]]-Sim[[#This Row],[Sept units]]</f>
        <v>-608.70652173913038</v>
      </c>
      <c r="I39" s="44">
        <f>Sim[[#This Row],[Sept units]]/30</f>
        <v>35</v>
      </c>
      <c r="J3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Shortage risk</v>
      </c>
      <c r="K39" s="47">
        <f>IFERROR(Sim[[#This Row],[Ending on-hand]]/Sim[[#This Row],[Sept daily rate]],0)</f>
        <v>-17.391614906832295</v>
      </c>
      <c r="L39" s="50" t="str">
        <f>_xlfn.XLOOKUP(Sim[[#This Row],[Product ID]],Table3[Product ID],Table3[Rev class],,0)</f>
        <v>A</v>
      </c>
      <c r="M39" s="47">
        <v>2.9394356503785271</v>
      </c>
      <c r="N39" s="43">
        <v>99.989997860000003</v>
      </c>
      <c r="O39" s="47">
        <f>IFERROR(_xlfn.STDEV.S(_xlfn.XLOOKUP(Sim[[#This Row],[Product ID]],Demand!$A$2:$A$101,Demand!$AD$2:$AG$101)),0)</f>
        <v>73.513604183171424</v>
      </c>
      <c r="P39" s="47">
        <f>Sim[[#This Row],[SigmaMonthly]]/SQRT(30)</f>
        <v>13.421686431543042</v>
      </c>
      <c r="Q39" s="44">
        <f>_xlfn.NORM.S.INV(_xlfn.XLOOKUP(Sim[[#This Row],[Class]],ServiceTbl[Class],ServiceTbl[Level]))</f>
        <v>2.0537489106318221</v>
      </c>
      <c r="R39" s="48">
        <f>ROUNDUP(Sim[[#This Row],[Z]]*Sim[[#This Row],[SigmaDaily]]*SQRT(Sim[[#This Row],[LT]]),0)</f>
        <v>48</v>
      </c>
      <c r="S39" s="48">
        <f>ROUNDUP(Sim[[#This Row],[Avg daily demand]]*Sim[[#This Row],[LT]]+Sim[[#This Row],[SS]],0)</f>
        <v>148</v>
      </c>
      <c r="T3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3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39" s="47"/>
    </row>
    <row r="40" spans="1:22" x14ac:dyDescent="0.2">
      <c r="A40" s="46">
        <v>627</v>
      </c>
      <c r="B40" s="40" t="s">
        <v>2</v>
      </c>
      <c r="C40" s="56">
        <v>2737</v>
      </c>
      <c r="D40" s="56">
        <v>930</v>
      </c>
      <c r="E40" s="47">
        <v>29.75</v>
      </c>
      <c r="F40" s="48">
        <v>100</v>
      </c>
      <c r="G40" s="48">
        <f>Sim[[#This Row],[Avg daily demand]]*Sim[[#This Row],[Seed days]]</f>
        <v>2975</v>
      </c>
      <c r="H40" s="49">
        <f>Sim[[#This Row],[Seed on-hand]]-Sim[[#This Row],[Sept units]]</f>
        <v>2045</v>
      </c>
      <c r="I40" s="44">
        <f>Sim[[#This Row],[Sept units]]/30</f>
        <v>31</v>
      </c>
      <c r="J4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40" s="47">
        <f>IFERROR(Sim[[#This Row],[Ending on-hand]]/Sim[[#This Row],[Sept daily rate]],0)</f>
        <v>65.967741935483872</v>
      </c>
      <c r="L40" s="50" t="str">
        <f>_xlfn.XLOOKUP(Sim[[#This Row],[Product ID]],Table3[Product ID],Table3[Rev class],,0)</f>
        <v>A</v>
      </c>
      <c r="M40" s="47">
        <v>2.9142294436238307</v>
      </c>
      <c r="N40" s="43">
        <v>39.990001679999999</v>
      </c>
      <c r="O40" s="47">
        <f>IFERROR(_xlfn.STDEV.S(_xlfn.XLOOKUP(Sim[[#This Row],[Product ID]],Demand!$A$2:$A$101,Demand!$AD$2:$AG$101)),0)</f>
        <v>52.18157401484423</v>
      </c>
      <c r="P40" s="47">
        <f>Sim[[#This Row],[SigmaMonthly]]/SQRT(30)</f>
        <v>9.5270083913518668</v>
      </c>
      <c r="Q40" s="44">
        <f>_xlfn.NORM.S.INV(_xlfn.XLOOKUP(Sim[[#This Row],[Class]],ServiceTbl[Class],ServiceTbl[Level]))</f>
        <v>2.0537489106318221</v>
      </c>
      <c r="R40" s="48">
        <f>ROUNDUP(Sim[[#This Row],[Z]]*Sim[[#This Row],[SigmaDaily]]*SQRT(Sim[[#This Row],[LT]]),0)</f>
        <v>34</v>
      </c>
      <c r="S40" s="48">
        <f>ROUNDUP(Sim[[#This Row],[Avg daily demand]]*Sim[[#This Row],[LT]]+Sim[[#This Row],[SS]],0)</f>
        <v>121</v>
      </c>
      <c r="T4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4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0" s="47"/>
    </row>
    <row r="41" spans="1:22" x14ac:dyDescent="0.2">
      <c r="A41" s="46">
        <v>502</v>
      </c>
      <c r="B41" s="40" t="s">
        <v>3</v>
      </c>
      <c r="C41" s="56">
        <v>5428</v>
      </c>
      <c r="D41" s="56">
        <v>1854</v>
      </c>
      <c r="E41" s="47">
        <v>59</v>
      </c>
      <c r="F41" s="48">
        <v>34</v>
      </c>
      <c r="G41" s="48">
        <f>Sim[[#This Row],[Avg daily demand]]*Sim[[#This Row],[Seed days]]</f>
        <v>2006</v>
      </c>
      <c r="H41" s="49">
        <f>Sim[[#This Row],[Seed on-hand]]-Sim[[#This Row],[Sept units]]</f>
        <v>152</v>
      </c>
      <c r="I41" s="44">
        <f>Sim[[#This Row],[Sept units]]/30</f>
        <v>61.8</v>
      </c>
      <c r="J4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41" s="47">
        <f>IFERROR(Sim[[#This Row],[Ending on-hand]]/Sim[[#This Row],[Sept daily rate]],0)</f>
        <v>2.4595469255663431</v>
      </c>
      <c r="L41" s="50" t="str">
        <f>_xlfn.XLOOKUP(Sim[[#This Row],[Product ID]],Table3[Product ID],Table3[Rev class],,0)</f>
        <v>A</v>
      </c>
      <c r="M41" s="47">
        <v>2.9285180944795659</v>
      </c>
      <c r="N41" s="43">
        <v>50</v>
      </c>
      <c r="O41" s="47">
        <f>IFERROR(_xlfn.STDEV.S(_xlfn.XLOOKUP(Sim[[#This Row],[Product ID]],Demand!$A$2:$A$101,Demand!$AD$2:$AG$101)),0)</f>
        <v>56.210171084362777</v>
      </c>
      <c r="P41" s="47">
        <f>Sim[[#This Row],[SigmaMonthly]]/SQRT(30)</f>
        <v>10.262526221376705</v>
      </c>
      <c r="Q41" s="44">
        <f>_xlfn.NORM.S.INV(_xlfn.XLOOKUP(Sim[[#This Row],[Class]],ServiceTbl[Class],ServiceTbl[Level]))</f>
        <v>2.0537489106318221</v>
      </c>
      <c r="R41" s="48">
        <f>ROUNDUP(Sim[[#This Row],[Z]]*Sim[[#This Row],[SigmaDaily]]*SQRT(Sim[[#This Row],[LT]]),0)</f>
        <v>37</v>
      </c>
      <c r="S41" s="48">
        <f>ROUNDUP(Sim[[#This Row],[Avg daily demand]]*Sim[[#This Row],[LT]]+Sim[[#This Row],[SS]],0)</f>
        <v>210</v>
      </c>
      <c r="T4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4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1" s="47"/>
    </row>
    <row r="42" spans="1:22" x14ac:dyDescent="0.2">
      <c r="A42" s="46">
        <v>1004</v>
      </c>
      <c r="B42" s="40" t="s">
        <v>48</v>
      </c>
      <c r="C42" s="56">
        <v>1549</v>
      </c>
      <c r="D42" s="56">
        <v>540</v>
      </c>
      <c r="E42" s="47">
        <v>16.836956521739129</v>
      </c>
      <c r="F42" s="48">
        <v>31</v>
      </c>
      <c r="G42" s="48">
        <f>Sim[[#This Row],[Avg daily demand]]*Sim[[#This Row],[Seed days]]</f>
        <v>521.945652173913</v>
      </c>
      <c r="H42" s="49">
        <f>Sim[[#This Row],[Seed on-hand]]-Sim[[#This Row],[Sept units]]</f>
        <v>-18.054347826086996</v>
      </c>
      <c r="I42" s="44">
        <f>Sim[[#This Row],[Sept units]]/30</f>
        <v>18</v>
      </c>
      <c r="J4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Shortage risk</v>
      </c>
      <c r="K42" s="47">
        <f>IFERROR(Sim[[#This Row],[Ending on-hand]]/Sim[[#This Row],[Sept daily rate]],0)</f>
        <v>-1.0030193236714997</v>
      </c>
      <c r="L42" s="50" t="str">
        <f>_xlfn.XLOOKUP(Sim[[#This Row],[Product ID]],Table3[Product ID],Table3[Rev class],,0)</f>
        <v>A</v>
      </c>
      <c r="M42" s="47">
        <v>2.9498190591073583</v>
      </c>
      <c r="N42" s="43">
        <v>399.98001099999999</v>
      </c>
      <c r="O42" s="47">
        <f>IFERROR(_xlfn.STDEV.S(_xlfn.XLOOKUP(Sim[[#This Row],[Product ID]],Demand!$A$2:$A$101,Demand!$AD$2:$AG$101)),0)</f>
        <v>11.105554165971787</v>
      </c>
      <c r="P42" s="47">
        <f>Sim[[#This Row],[SigmaMonthly]]/SQRT(30)</f>
        <v>2.0275875100994063</v>
      </c>
      <c r="Q42" s="44">
        <f>_xlfn.NORM.S.INV(_xlfn.XLOOKUP(Sim[[#This Row],[Class]],ServiceTbl[Class],ServiceTbl[Level]))</f>
        <v>2.0537489106318221</v>
      </c>
      <c r="R42" s="48">
        <f>ROUNDUP(Sim[[#This Row],[Z]]*Sim[[#This Row],[SigmaDaily]]*SQRT(Sim[[#This Row],[LT]]),0)</f>
        <v>8</v>
      </c>
      <c r="S42" s="48">
        <f>ROUNDUP(Sim[[#This Row],[Avg daily demand]]*Sim[[#This Row],[LT]]+Sim[[#This Row],[SS]],0)</f>
        <v>58</v>
      </c>
      <c r="T4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BELOW-ROP</v>
      </c>
      <c r="U4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2" s="47"/>
    </row>
    <row r="43" spans="1:22" x14ac:dyDescent="0.2">
      <c r="A43" s="46">
        <v>957</v>
      </c>
      <c r="B43" s="40" t="s">
        <v>17</v>
      </c>
      <c r="C43" s="56">
        <v>1177</v>
      </c>
      <c r="D43" s="56">
        <v>417</v>
      </c>
      <c r="E43" s="47">
        <v>12.793478260869565</v>
      </c>
      <c r="F43" s="48">
        <v>95</v>
      </c>
      <c r="G43" s="48">
        <f>Sim[[#This Row],[Avg daily demand]]*Sim[[#This Row],[Seed days]]</f>
        <v>1215.3804347826085</v>
      </c>
      <c r="H43" s="49">
        <f>Sim[[#This Row],[Seed on-hand]]-Sim[[#This Row],[Sept units]]</f>
        <v>798.38043478260852</v>
      </c>
      <c r="I43" s="44">
        <f>Sim[[#This Row],[Sept units]]/30</f>
        <v>13.9</v>
      </c>
      <c r="J4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Normal</v>
      </c>
      <c r="K43" s="47">
        <f>IFERROR(Sim[[#This Row],[Ending on-hand]]/Sim[[#This Row],[Sept daily rate]],0)</f>
        <v>57.437441351266799</v>
      </c>
      <c r="L43" s="50" t="str">
        <f>_xlfn.XLOOKUP(Sim[[#This Row],[Product ID]],Table3[Product ID],Table3[Rev class],,0)</f>
        <v>A</v>
      </c>
      <c r="M43" s="47">
        <v>2.9461269213209555</v>
      </c>
      <c r="N43" s="43">
        <v>299.98001099999999</v>
      </c>
      <c r="O43" s="47">
        <f>IFERROR(_xlfn.STDEV.S(_xlfn.XLOOKUP(Sim[[#This Row],[Product ID]],Demand!$A$2:$A$101,Demand!$AD$2:$AG$101)),0)</f>
        <v>18.786076404259266</v>
      </c>
      <c r="P43" s="47">
        <f>Sim[[#This Row],[SigmaMonthly]]/SQRT(30)</f>
        <v>3.4298526045427797</v>
      </c>
      <c r="Q43" s="44">
        <f>_xlfn.NORM.S.INV(_xlfn.XLOOKUP(Sim[[#This Row],[Class]],ServiceTbl[Class],ServiceTbl[Level]))</f>
        <v>2.0537489106318221</v>
      </c>
      <c r="R43" s="48">
        <f>ROUNDUP(Sim[[#This Row],[Z]]*Sim[[#This Row],[SigmaDaily]]*SQRT(Sim[[#This Row],[LT]]),0)</f>
        <v>13</v>
      </c>
      <c r="S43" s="48">
        <f>ROUNDUP(Sim[[#This Row],[Avg daily demand]]*Sim[[#This Row],[LT]]+Sim[[#This Row],[SS]],0)</f>
        <v>51</v>
      </c>
      <c r="T4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OK</v>
      </c>
      <c r="U4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3" s="47"/>
    </row>
    <row r="44" spans="1:22" x14ac:dyDescent="0.2">
      <c r="A44" s="46">
        <v>977</v>
      </c>
      <c r="B44" s="40" t="s">
        <v>13</v>
      </c>
      <c r="C44" s="56">
        <v>0</v>
      </c>
      <c r="D44" s="56">
        <v>0</v>
      </c>
      <c r="E44" s="47">
        <v>0</v>
      </c>
      <c r="F44" s="48">
        <v>38</v>
      </c>
      <c r="G44" s="48">
        <f>Sim[[#This Row],[Avg daily demand]]*Sim[[#This Row],[Seed days]]</f>
        <v>0</v>
      </c>
      <c r="H44" s="49">
        <f>Sim[[#This Row],[Seed on-hand]]-Sim[[#This Row],[Sept units]]</f>
        <v>0</v>
      </c>
      <c r="I44" s="44">
        <f>Sim[[#This Row],[Sept units]]/30</f>
        <v>0</v>
      </c>
      <c r="J4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44" s="47">
        <f>IFERROR(Sim[[#This Row],[Ending on-hand]]/Sim[[#This Row],[Sept daily rate]],0)</f>
        <v>0</v>
      </c>
      <c r="L44" s="50" t="str">
        <f>_xlfn.XLOOKUP(Sim[[#This Row],[Product ID]],Table3[Product ID],Table3[Rev class],,0)</f>
        <v>B</v>
      </c>
      <c r="M44" s="47">
        <v>2.8237179487179489</v>
      </c>
      <c r="N44" s="43">
        <v>29.989999770000001</v>
      </c>
      <c r="O44" s="47">
        <f>IFERROR(_xlfn.STDEV.S(_xlfn.XLOOKUP(Sim[[#This Row],[Product ID]],Demand!$A$2:$A$101,Demand!$AD$2:$AG$101)),0)</f>
        <v>0</v>
      </c>
      <c r="P44" s="47">
        <f>Sim[[#This Row],[SigmaMonthly]]/SQRT(30)</f>
        <v>0</v>
      </c>
      <c r="Q44" s="44">
        <f>_xlfn.NORM.S.INV(_xlfn.XLOOKUP(Sim[[#This Row],[Class]],ServiceTbl[Class],ServiceTbl[Level]))</f>
        <v>1.6448536269514715</v>
      </c>
      <c r="R44" s="48">
        <f>ROUNDUP(Sim[[#This Row],[Z]]*Sim[[#This Row],[SigmaDaily]]*SQRT(Sim[[#This Row],[LT]]),0)</f>
        <v>0</v>
      </c>
      <c r="S44" s="48">
        <f>ROUNDUP(Sim[[#This Row],[Avg daily demand]]*Sim[[#This Row],[LT]]+Sim[[#This Row],[SS]],0)</f>
        <v>0</v>
      </c>
      <c r="T4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4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4" s="47"/>
    </row>
    <row r="45" spans="1:22" x14ac:dyDescent="0.2">
      <c r="A45" s="46">
        <v>116</v>
      </c>
      <c r="B45" s="40" t="s">
        <v>25</v>
      </c>
      <c r="C45" s="56">
        <v>0</v>
      </c>
      <c r="D45" s="56">
        <v>0</v>
      </c>
      <c r="E45" s="47">
        <v>0</v>
      </c>
      <c r="F45" s="48">
        <v>34</v>
      </c>
      <c r="G45" s="48">
        <f>Sim[[#This Row],[Avg daily demand]]*Sim[[#This Row],[Seed days]]</f>
        <v>0</v>
      </c>
      <c r="H45" s="49">
        <f>Sim[[#This Row],[Seed on-hand]]-Sim[[#This Row],[Sept units]]</f>
        <v>0</v>
      </c>
      <c r="I45" s="44">
        <f>Sim[[#This Row],[Sept units]]/30</f>
        <v>0</v>
      </c>
      <c r="J4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45" s="47">
        <f>IFERROR(Sim[[#This Row],[Ending on-hand]]/Sim[[#This Row],[Sept daily rate]],0)</f>
        <v>0</v>
      </c>
      <c r="L45" s="50" t="str">
        <f>_xlfn.XLOOKUP(Sim[[#This Row],[Product ID]],Table3[Product ID],Table3[Rev class],,0)</f>
        <v>B</v>
      </c>
      <c r="M45" s="47">
        <v>2.894904458598726</v>
      </c>
      <c r="N45" s="43">
        <v>44.990001679999999</v>
      </c>
      <c r="O45" s="47">
        <f>IFERROR(_xlfn.STDEV.S(_xlfn.XLOOKUP(Sim[[#This Row],[Product ID]],Demand!$A$2:$A$101,Demand!$AD$2:$AG$101)),0)</f>
        <v>0</v>
      </c>
      <c r="P45" s="47">
        <f>Sim[[#This Row],[SigmaMonthly]]/SQRT(30)</f>
        <v>0</v>
      </c>
      <c r="Q45" s="44">
        <f>_xlfn.NORM.S.INV(_xlfn.XLOOKUP(Sim[[#This Row],[Class]],ServiceTbl[Class],ServiceTbl[Level]))</f>
        <v>1.6448536269514715</v>
      </c>
      <c r="R45" s="48">
        <f>ROUNDUP(Sim[[#This Row],[Z]]*Sim[[#This Row],[SigmaDaily]]*SQRT(Sim[[#This Row],[LT]]),0)</f>
        <v>0</v>
      </c>
      <c r="S45" s="48">
        <f>ROUNDUP(Sim[[#This Row],[Avg daily demand]]*Sim[[#This Row],[LT]]+Sim[[#This Row],[SS]],0)</f>
        <v>0</v>
      </c>
      <c r="T4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4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5" s="47"/>
    </row>
    <row r="46" spans="1:22" x14ac:dyDescent="0.2">
      <c r="A46" s="46">
        <v>885</v>
      </c>
      <c r="B46" s="40" t="s">
        <v>20</v>
      </c>
      <c r="C46" s="56">
        <v>0</v>
      </c>
      <c r="D46" s="56">
        <v>0</v>
      </c>
      <c r="E46" s="47">
        <v>0</v>
      </c>
      <c r="F46" s="48">
        <v>49</v>
      </c>
      <c r="G46" s="48">
        <f>Sim[[#This Row],[Avg daily demand]]*Sim[[#This Row],[Seed days]]</f>
        <v>0</v>
      </c>
      <c r="H46" s="49">
        <f>Sim[[#This Row],[Seed on-hand]]-Sim[[#This Row],[Sept units]]</f>
        <v>0</v>
      </c>
      <c r="I46" s="44">
        <f>Sim[[#This Row],[Sept units]]/30</f>
        <v>0</v>
      </c>
      <c r="J4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46" s="47">
        <f>IFERROR(Sim[[#This Row],[Ending on-hand]]/Sim[[#This Row],[Sept daily rate]],0)</f>
        <v>0</v>
      </c>
      <c r="L46" s="50" t="str">
        <f>_xlfn.XLOOKUP(Sim[[#This Row],[Product ID]],Table3[Product ID],Table3[Rev class],,0)</f>
        <v>B</v>
      </c>
      <c r="M46" s="47">
        <v>2.8181818181818183</v>
      </c>
      <c r="N46" s="43">
        <v>24.989999770000001</v>
      </c>
      <c r="O46" s="47">
        <f>IFERROR(_xlfn.STDEV.S(_xlfn.XLOOKUP(Sim[[#This Row],[Product ID]],Demand!$A$2:$A$101,Demand!$AD$2:$AG$101)),0)</f>
        <v>0</v>
      </c>
      <c r="P46" s="47">
        <f>Sim[[#This Row],[SigmaMonthly]]/SQRT(30)</f>
        <v>0</v>
      </c>
      <c r="Q46" s="44">
        <f>_xlfn.NORM.S.INV(_xlfn.XLOOKUP(Sim[[#This Row],[Class]],ServiceTbl[Class],ServiceTbl[Level]))</f>
        <v>1.6448536269514715</v>
      </c>
      <c r="R46" s="48">
        <f>ROUNDUP(Sim[[#This Row],[Z]]*Sim[[#This Row],[SigmaDaily]]*SQRT(Sim[[#This Row],[LT]]),0)</f>
        <v>0</v>
      </c>
      <c r="S46" s="48">
        <f>ROUNDUP(Sim[[#This Row],[Avg daily demand]]*Sim[[#This Row],[LT]]+Sim[[#This Row],[SS]],0)</f>
        <v>0</v>
      </c>
      <c r="T4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4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6" s="47"/>
    </row>
    <row r="47" spans="1:22" x14ac:dyDescent="0.2">
      <c r="A47" s="46">
        <v>44</v>
      </c>
      <c r="B47" s="40" t="s">
        <v>14</v>
      </c>
      <c r="C47" s="56">
        <v>0</v>
      </c>
      <c r="D47" s="56">
        <v>0</v>
      </c>
      <c r="E47" s="47">
        <v>0</v>
      </c>
      <c r="F47" s="48">
        <v>116</v>
      </c>
      <c r="G47" s="48">
        <f>Sim[[#This Row],[Avg daily demand]]*Sim[[#This Row],[Seed days]]</f>
        <v>0</v>
      </c>
      <c r="H47" s="49">
        <f>Sim[[#This Row],[Seed on-hand]]-Sim[[#This Row],[Sept units]]</f>
        <v>0</v>
      </c>
      <c r="I47" s="44">
        <f>Sim[[#This Row],[Sept units]]/30</f>
        <v>0</v>
      </c>
      <c r="J4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47" s="47">
        <f>IFERROR(Sim[[#This Row],[Ending on-hand]]/Sim[[#This Row],[Sept daily rate]],0)</f>
        <v>0</v>
      </c>
      <c r="L47" s="50" t="str">
        <f>_xlfn.XLOOKUP(Sim[[#This Row],[Product ID]],Table3[Product ID],Table3[Rev class],,0)</f>
        <v>B</v>
      </c>
      <c r="M47" s="47">
        <v>2.9523809523809526</v>
      </c>
      <c r="N47" s="43">
        <v>59.990001679999999</v>
      </c>
      <c r="O47" s="47">
        <f>IFERROR(_xlfn.STDEV.S(_xlfn.XLOOKUP(Sim[[#This Row],[Product ID]],Demand!$A$2:$A$101,Demand!$AD$2:$AG$101)),0)</f>
        <v>0</v>
      </c>
      <c r="P47" s="47">
        <f>Sim[[#This Row],[SigmaMonthly]]/SQRT(30)</f>
        <v>0</v>
      </c>
      <c r="Q47" s="44">
        <f>_xlfn.NORM.S.INV(_xlfn.XLOOKUP(Sim[[#This Row],[Class]],ServiceTbl[Class],ServiceTbl[Level]))</f>
        <v>1.6448536269514715</v>
      </c>
      <c r="R47" s="48">
        <f>ROUNDUP(Sim[[#This Row],[Z]]*Sim[[#This Row],[SigmaDaily]]*SQRT(Sim[[#This Row],[LT]]),0)</f>
        <v>0</v>
      </c>
      <c r="S47" s="48">
        <f>ROUNDUP(Sim[[#This Row],[Avg daily demand]]*Sim[[#This Row],[LT]]+Sim[[#This Row],[SS]],0)</f>
        <v>0</v>
      </c>
      <c r="T4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4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7" s="47"/>
    </row>
    <row r="48" spans="1:22" x14ac:dyDescent="0.2">
      <c r="A48" s="46">
        <v>565</v>
      </c>
      <c r="B48" s="40" t="s">
        <v>30</v>
      </c>
      <c r="C48" s="56">
        <v>0</v>
      </c>
      <c r="D48" s="56">
        <v>0</v>
      </c>
      <c r="E48" s="47">
        <v>0</v>
      </c>
      <c r="F48" s="48">
        <v>40</v>
      </c>
      <c r="G48" s="48">
        <f>Sim[[#This Row],[Avg daily demand]]*Sim[[#This Row],[Seed days]]</f>
        <v>0</v>
      </c>
      <c r="H48" s="49">
        <f>Sim[[#This Row],[Seed on-hand]]-Sim[[#This Row],[Sept units]]</f>
        <v>0</v>
      </c>
      <c r="I48" s="44">
        <f>Sim[[#This Row],[Sept units]]/30</f>
        <v>0</v>
      </c>
      <c r="J4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48" s="47">
        <f>IFERROR(Sim[[#This Row],[Ending on-hand]]/Sim[[#This Row],[Sept daily rate]],0)</f>
        <v>0</v>
      </c>
      <c r="L48" s="50" t="str">
        <f>_xlfn.XLOOKUP(Sim[[#This Row],[Product ID]],Table3[Product ID],Table3[Rev class],,0)</f>
        <v>B</v>
      </c>
      <c r="M48" s="47">
        <v>2.9523809523809526</v>
      </c>
      <c r="N48" s="43">
        <v>70</v>
      </c>
      <c r="O48" s="47">
        <f>IFERROR(_xlfn.STDEV.S(_xlfn.XLOOKUP(Sim[[#This Row],[Product ID]],Demand!$A$2:$A$101,Demand!$AD$2:$AG$101)),0)</f>
        <v>0</v>
      </c>
      <c r="P48" s="47">
        <f>Sim[[#This Row],[SigmaMonthly]]/SQRT(30)</f>
        <v>0</v>
      </c>
      <c r="Q48" s="44">
        <f>_xlfn.NORM.S.INV(_xlfn.XLOOKUP(Sim[[#This Row],[Class]],ServiceTbl[Class],ServiceTbl[Level]))</f>
        <v>1.6448536269514715</v>
      </c>
      <c r="R48" s="48">
        <f>ROUNDUP(Sim[[#This Row],[Z]]*Sim[[#This Row],[SigmaDaily]]*SQRT(Sim[[#This Row],[LT]]),0)</f>
        <v>0</v>
      </c>
      <c r="S48" s="48">
        <f>ROUNDUP(Sim[[#This Row],[Avg daily demand]]*Sim[[#This Row],[LT]]+Sim[[#This Row],[SS]],0)</f>
        <v>0</v>
      </c>
      <c r="T4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4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8" s="47"/>
    </row>
    <row r="49" spans="1:22" x14ac:dyDescent="0.2">
      <c r="A49" s="46">
        <v>728</v>
      </c>
      <c r="B49" s="40" t="s">
        <v>85</v>
      </c>
      <c r="C49" s="56">
        <v>0</v>
      </c>
      <c r="D49" s="56">
        <v>0</v>
      </c>
      <c r="E49" s="47">
        <v>0</v>
      </c>
      <c r="F49" s="48">
        <v>150</v>
      </c>
      <c r="G49" s="48">
        <f>Sim[[#This Row],[Avg daily demand]]*Sim[[#This Row],[Seed days]]</f>
        <v>0</v>
      </c>
      <c r="H49" s="49">
        <f>Sim[[#This Row],[Seed on-hand]]-Sim[[#This Row],[Sept units]]</f>
        <v>0</v>
      </c>
      <c r="I49" s="44">
        <f>Sim[[#This Row],[Sept units]]/30</f>
        <v>0</v>
      </c>
      <c r="J4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49" s="47">
        <f>IFERROR(Sim[[#This Row],[Ending on-hand]]/Sim[[#This Row],[Sept daily rate]],0)</f>
        <v>0</v>
      </c>
      <c r="L49" s="50" t="str">
        <f>_xlfn.XLOOKUP(Sim[[#This Row],[Product ID]],Table3[Product ID],Table3[Rev class],,0)</f>
        <v>B</v>
      </c>
      <c r="M49" s="47">
        <v>2.8644067796610169</v>
      </c>
      <c r="N49" s="43">
        <v>65</v>
      </c>
      <c r="O49" s="47">
        <f>IFERROR(_xlfn.STDEV.S(_xlfn.XLOOKUP(Sim[[#This Row],[Product ID]],Demand!$A$2:$A$101,Demand!$AD$2:$AG$101)),0)</f>
        <v>0</v>
      </c>
      <c r="P49" s="47">
        <f>Sim[[#This Row],[SigmaMonthly]]/SQRT(30)</f>
        <v>0</v>
      </c>
      <c r="Q49" s="44">
        <f>_xlfn.NORM.S.INV(_xlfn.XLOOKUP(Sim[[#This Row],[Class]],ServiceTbl[Class],ServiceTbl[Level]))</f>
        <v>1.6448536269514715</v>
      </c>
      <c r="R49" s="48">
        <f>ROUNDUP(Sim[[#This Row],[Z]]*Sim[[#This Row],[SigmaDaily]]*SQRT(Sim[[#This Row],[LT]]),0)</f>
        <v>0</v>
      </c>
      <c r="S49" s="48">
        <f>ROUNDUP(Sim[[#This Row],[Avg daily demand]]*Sim[[#This Row],[LT]]+Sim[[#This Row],[SS]],0)</f>
        <v>0</v>
      </c>
      <c r="T4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4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49" s="47"/>
    </row>
    <row r="50" spans="1:22" x14ac:dyDescent="0.2">
      <c r="A50" s="46">
        <v>804</v>
      </c>
      <c r="B50" s="40" t="s">
        <v>34</v>
      </c>
      <c r="C50" s="56">
        <v>0</v>
      </c>
      <c r="D50" s="56">
        <v>0</v>
      </c>
      <c r="E50" s="47">
        <v>0</v>
      </c>
      <c r="F50" s="48">
        <v>62</v>
      </c>
      <c r="G50" s="48">
        <f>Sim[[#This Row],[Avg daily demand]]*Sim[[#This Row],[Seed days]]</f>
        <v>0</v>
      </c>
      <c r="H50" s="49">
        <f>Sim[[#This Row],[Seed on-hand]]-Sim[[#This Row],[Sept units]]</f>
        <v>0</v>
      </c>
      <c r="I50" s="44">
        <f>Sim[[#This Row],[Sept units]]/30</f>
        <v>0</v>
      </c>
      <c r="J5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0" s="47">
        <f>IFERROR(Sim[[#This Row],[Ending on-hand]]/Sim[[#This Row],[Sept daily rate]],0)</f>
        <v>0</v>
      </c>
      <c r="L50" s="50" t="str">
        <f>_xlfn.XLOOKUP(Sim[[#This Row],[Product ID]],Table3[Product ID],Table3[Rev class],,0)</f>
        <v>B</v>
      </c>
      <c r="M50" s="47">
        <v>2.9863013698630136</v>
      </c>
      <c r="N50" s="43">
        <v>19.989999770000001</v>
      </c>
      <c r="O50" s="47">
        <f>IFERROR(_xlfn.STDEV.S(_xlfn.XLOOKUP(Sim[[#This Row],[Product ID]],Demand!$A$2:$A$101,Demand!$AD$2:$AG$101)),0)</f>
        <v>0</v>
      </c>
      <c r="P50" s="47">
        <f>Sim[[#This Row],[SigmaMonthly]]/SQRT(30)</f>
        <v>0</v>
      </c>
      <c r="Q50" s="44">
        <f>_xlfn.NORM.S.INV(_xlfn.XLOOKUP(Sim[[#This Row],[Class]],ServiceTbl[Class],ServiceTbl[Level]))</f>
        <v>1.6448536269514715</v>
      </c>
      <c r="R50" s="48">
        <f>ROUNDUP(Sim[[#This Row],[Z]]*Sim[[#This Row],[SigmaDaily]]*SQRT(Sim[[#This Row],[LT]]),0)</f>
        <v>0</v>
      </c>
      <c r="S50" s="48">
        <f>ROUNDUP(Sim[[#This Row],[Avg daily demand]]*Sim[[#This Row],[LT]]+Sim[[#This Row],[SS]],0)</f>
        <v>0</v>
      </c>
      <c r="T5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0" s="47"/>
    </row>
    <row r="51" spans="1:22" x14ac:dyDescent="0.2">
      <c r="A51" s="46">
        <v>917</v>
      </c>
      <c r="B51" s="40" t="s">
        <v>7</v>
      </c>
      <c r="C51" s="56">
        <v>0</v>
      </c>
      <c r="D51" s="56">
        <v>0</v>
      </c>
      <c r="E51" s="47">
        <v>0</v>
      </c>
      <c r="F51" s="48">
        <v>50</v>
      </c>
      <c r="G51" s="48">
        <f>Sim[[#This Row],[Avg daily demand]]*Sim[[#This Row],[Seed days]]</f>
        <v>0</v>
      </c>
      <c r="H51" s="49">
        <f>Sim[[#This Row],[Seed on-hand]]-Sim[[#This Row],[Sept units]]</f>
        <v>0</v>
      </c>
      <c r="I51" s="44">
        <f>Sim[[#This Row],[Sept units]]/30</f>
        <v>0</v>
      </c>
      <c r="J5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1" s="47">
        <f>IFERROR(Sim[[#This Row],[Ending on-hand]]/Sim[[#This Row],[Sept daily rate]],0)</f>
        <v>0</v>
      </c>
      <c r="L51" s="50" t="str">
        <f>_xlfn.XLOOKUP(Sim[[#This Row],[Product ID]],Table3[Product ID],Table3[Rev class],,0)</f>
        <v>B</v>
      </c>
      <c r="M51" s="47">
        <v>2.8763250883392226</v>
      </c>
      <c r="N51" s="43">
        <v>21.989999770000001</v>
      </c>
      <c r="O51" s="47">
        <f>IFERROR(_xlfn.STDEV.S(_xlfn.XLOOKUP(Sim[[#This Row],[Product ID]],Demand!$A$2:$A$101,Demand!$AD$2:$AG$101)),0)</f>
        <v>0</v>
      </c>
      <c r="P51" s="47">
        <f>Sim[[#This Row],[SigmaMonthly]]/SQRT(30)</f>
        <v>0</v>
      </c>
      <c r="Q51" s="44">
        <f>_xlfn.NORM.S.INV(_xlfn.XLOOKUP(Sim[[#This Row],[Class]],ServiceTbl[Class],ServiceTbl[Level]))</f>
        <v>1.6448536269514715</v>
      </c>
      <c r="R51" s="48">
        <f>ROUNDUP(Sim[[#This Row],[Z]]*Sim[[#This Row],[SigmaDaily]]*SQRT(Sim[[#This Row],[LT]]),0)</f>
        <v>0</v>
      </c>
      <c r="S51" s="48">
        <f>ROUNDUP(Sim[[#This Row],[Avg daily demand]]*Sim[[#This Row],[LT]]+Sim[[#This Row],[SS]],0)</f>
        <v>0</v>
      </c>
      <c r="T5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1" s="47"/>
    </row>
    <row r="52" spans="1:22" x14ac:dyDescent="0.2">
      <c r="A52" s="46">
        <v>642</v>
      </c>
      <c r="B52" s="40" t="s">
        <v>9</v>
      </c>
      <c r="C52" s="56">
        <v>0</v>
      </c>
      <c r="D52" s="56">
        <v>0</v>
      </c>
      <c r="E52" s="47">
        <v>0</v>
      </c>
      <c r="F52" s="48">
        <v>45</v>
      </c>
      <c r="G52" s="48">
        <f>Sim[[#This Row],[Avg daily demand]]*Sim[[#This Row],[Seed days]]</f>
        <v>0</v>
      </c>
      <c r="H52" s="49">
        <f>Sim[[#This Row],[Seed on-hand]]-Sim[[#This Row],[Sept units]]</f>
        <v>0</v>
      </c>
      <c r="I52" s="44">
        <f>Sim[[#This Row],[Sept units]]/30</f>
        <v>0</v>
      </c>
      <c r="J5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2" s="47">
        <f>IFERROR(Sim[[#This Row],[Ending on-hand]]/Sim[[#This Row],[Sept daily rate]],0)</f>
        <v>0</v>
      </c>
      <c r="L52" s="50" t="str">
        <f>_xlfn.XLOOKUP(Sim[[#This Row],[Product ID]],Table3[Product ID],Table3[Rev class],,0)</f>
        <v>B</v>
      </c>
      <c r="M52" s="47">
        <v>2.9691780821917808</v>
      </c>
      <c r="N52" s="43">
        <v>30</v>
      </c>
      <c r="O52" s="47">
        <f>IFERROR(_xlfn.STDEV.S(_xlfn.XLOOKUP(Sim[[#This Row],[Product ID]],Demand!$A$2:$A$101,Demand!$AD$2:$AG$101)),0)</f>
        <v>0</v>
      </c>
      <c r="P52" s="47">
        <f>Sim[[#This Row],[SigmaMonthly]]/SQRT(30)</f>
        <v>0</v>
      </c>
      <c r="Q52" s="44">
        <f>_xlfn.NORM.S.INV(_xlfn.XLOOKUP(Sim[[#This Row],[Class]],ServiceTbl[Class],ServiceTbl[Level]))</f>
        <v>1.6448536269514715</v>
      </c>
      <c r="R52" s="48">
        <f>ROUNDUP(Sim[[#This Row],[Z]]*Sim[[#This Row],[SigmaDaily]]*SQRT(Sim[[#This Row],[LT]]),0)</f>
        <v>0</v>
      </c>
      <c r="S52" s="48">
        <f>ROUNDUP(Sim[[#This Row],[Avg daily demand]]*Sim[[#This Row],[LT]]+Sim[[#This Row],[SS]],0)</f>
        <v>0</v>
      </c>
      <c r="T5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2" s="47"/>
    </row>
    <row r="53" spans="1:22" x14ac:dyDescent="0.2">
      <c r="A53" s="46">
        <v>835</v>
      </c>
      <c r="B53" s="40" t="s">
        <v>36</v>
      </c>
      <c r="C53" s="56">
        <v>0</v>
      </c>
      <c r="D53" s="56">
        <v>0</v>
      </c>
      <c r="E53" s="47">
        <v>0</v>
      </c>
      <c r="F53" s="48">
        <v>60</v>
      </c>
      <c r="G53" s="48">
        <f>Sim[[#This Row],[Avg daily demand]]*Sim[[#This Row],[Seed days]]</f>
        <v>0</v>
      </c>
      <c r="H53" s="49">
        <f>Sim[[#This Row],[Seed on-hand]]-Sim[[#This Row],[Sept units]]</f>
        <v>0</v>
      </c>
      <c r="I53" s="44">
        <f>Sim[[#This Row],[Sept units]]/30</f>
        <v>0</v>
      </c>
      <c r="J5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3" s="47">
        <f>IFERROR(Sim[[#This Row],[Ending on-hand]]/Sim[[#This Row],[Sept daily rate]],0)</f>
        <v>0</v>
      </c>
      <c r="L53" s="50" t="str">
        <f>_xlfn.XLOOKUP(Sim[[#This Row],[Product ID]],Table3[Product ID],Table3[Rev class],,0)</f>
        <v>B</v>
      </c>
      <c r="M53" s="47">
        <v>3.0169491525423728</v>
      </c>
      <c r="N53" s="43">
        <v>31.989999770000001</v>
      </c>
      <c r="O53" s="47">
        <f>IFERROR(_xlfn.STDEV.S(_xlfn.XLOOKUP(Sim[[#This Row],[Product ID]],Demand!$A$2:$A$101,Demand!$AD$2:$AG$101)),0)</f>
        <v>0</v>
      </c>
      <c r="P53" s="47">
        <f>Sim[[#This Row],[SigmaMonthly]]/SQRT(30)</f>
        <v>0</v>
      </c>
      <c r="Q53" s="44">
        <f>_xlfn.NORM.S.INV(_xlfn.XLOOKUP(Sim[[#This Row],[Class]],ServiceTbl[Class],ServiceTbl[Level]))</f>
        <v>1.6448536269514715</v>
      </c>
      <c r="R53" s="48">
        <f>ROUNDUP(Sim[[#This Row],[Z]]*Sim[[#This Row],[SigmaDaily]]*SQRT(Sim[[#This Row],[LT]]),0)</f>
        <v>0</v>
      </c>
      <c r="S53" s="48">
        <f>ROUNDUP(Sim[[#This Row],[Avg daily demand]]*Sim[[#This Row],[LT]]+Sim[[#This Row],[SS]],0)</f>
        <v>0</v>
      </c>
      <c r="T5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3" s="47"/>
    </row>
    <row r="54" spans="1:22" x14ac:dyDescent="0.2">
      <c r="A54" s="46">
        <v>926</v>
      </c>
      <c r="B54" s="40" t="s">
        <v>23</v>
      </c>
      <c r="C54" s="56">
        <v>0</v>
      </c>
      <c r="D54" s="56">
        <v>0</v>
      </c>
      <c r="E54" s="47">
        <v>0</v>
      </c>
      <c r="F54" s="48">
        <v>45</v>
      </c>
      <c r="G54" s="48">
        <f>Sim[[#This Row],[Avg daily demand]]*Sim[[#This Row],[Seed days]]</f>
        <v>0</v>
      </c>
      <c r="H54" s="49">
        <f>Sim[[#This Row],[Seed on-hand]]-Sim[[#This Row],[Sept units]]</f>
        <v>0</v>
      </c>
      <c r="I54" s="44">
        <f>Sim[[#This Row],[Sept units]]/30</f>
        <v>0</v>
      </c>
      <c r="J5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4" s="47">
        <f>IFERROR(Sim[[#This Row],[Ending on-hand]]/Sim[[#This Row],[Sept daily rate]],0)</f>
        <v>0</v>
      </c>
      <c r="L54" s="50" t="str">
        <f>_xlfn.XLOOKUP(Sim[[#This Row],[Product ID]],Table3[Product ID],Table3[Rev class],,0)</f>
        <v>B</v>
      </c>
      <c r="M54" s="47">
        <v>2.9087719298245616</v>
      </c>
      <c r="N54" s="43">
        <v>15.989999770000001</v>
      </c>
      <c r="O54" s="47">
        <f>IFERROR(_xlfn.STDEV.S(_xlfn.XLOOKUP(Sim[[#This Row],[Product ID]],Demand!$A$2:$A$101,Demand!$AD$2:$AG$101)),0)</f>
        <v>0</v>
      </c>
      <c r="P54" s="47">
        <f>Sim[[#This Row],[SigmaMonthly]]/SQRT(30)</f>
        <v>0</v>
      </c>
      <c r="Q54" s="44">
        <f>_xlfn.NORM.S.INV(_xlfn.XLOOKUP(Sim[[#This Row],[Class]],ServiceTbl[Class],ServiceTbl[Level]))</f>
        <v>1.6448536269514715</v>
      </c>
      <c r="R54" s="48">
        <f>ROUNDUP(Sim[[#This Row],[Z]]*Sim[[#This Row],[SigmaDaily]]*SQRT(Sim[[#This Row],[LT]]),0)</f>
        <v>0</v>
      </c>
      <c r="S54" s="48">
        <f>ROUNDUP(Sim[[#This Row],[Avg daily demand]]*Sim[[#This Row],[LT]]+Sim[[#This Row],[SS]],0)</f>
        <v>0</v>
      </c>
      <c r="T5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4" s="47"/>
    </row>
    <row r="55" spans="1:22" x14ac:dyDescent="0.2">
      <c r="A55" s="46">
        <v>823</v>
      </c>
      <c r="B55" s="40" t="s">
        <v>39</v>
      </c>
      <c r="C55" s="56">
        <v>0</v>
      </c>
      <c r="D55" s="56">
        <v>0</v>
      </c>
      <c r="E55" s="47">
        <v>0</v>
      </c>
      <c r="F55" s="48">
        <v>27</v>
      </c>
      <c r="G55" s="48">
        <f>Sim[[#This Row],[Avg daily demand]]*Sim[[#This Row],[Seed days]]</f>
        <v>0</v>
      </c>
      <c r="H55" s="49">
        <f>Sim[[#This Row],[Seed on-hand]]-Sim[[#This Row],[Sept units]]</f>
        <v>0</v>
      </c>
      <c r="I55" s="44">
        <f>Sim[[#This Row],[Sept units]]/30</f>
        <v>0</v>
      </c>
      <c r="J5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5" s="47">
        <f>IFERROR(Sim[[#This Row],[Ending on-hand]]/Sim[[#This Row],[Sept daily rate]],0)</f>
        <v>0</v>
      </c>
      <c r="L55" s="50" t="str">
        <f>_xlfn.XLOOKUP(Sim[[#This Row],[Product ID]],Table3[Product ID],Table3[Rev class],,0)</f>
        <v>B</v>
      </c>
      <c r="M55" s="47">
        <v>2.9186440677966101</v>
      </c>
      <c r="N55" s="43">
        <v>51.990001679999999</v>
      </c>
      <c r="O55" s="47">
        <f>IFERROR(_xlfn.STDEV.S(_xlfn.XLOOKUP(Sim[[#This Row],[Product ID]],Demand!$A$2:$A$101,Demand!$AD$2:$AG$101)),0)</f>
        <v>0</v>
      </c>
      <c r="P55" s="47">
        <f>Sim[[#This Row],[SigmaMonthly]]/SQRT(30)</f>
        <v>0</v>
      </c>
      <c r="Q55" s="44">
        <f>_xlfn.NORM.S.INV(_xlfn.XLOOKUP(Sim[[#This Row],[Class]],ServiceTbl[Class],ServiceTbl[Level]))</f>
        <v>1.6448536269514715</v>
      </c>
      <c r="R55" s="48">
        <f>ROUNDUP(Sim[[#This Row],[Z]]*Sim[[#This Row],[SigmaDaily]]*SQRT(Sim[[#This Row],[LT]]),0)</f>
        <v>0</v>
      </c>
      <c r="S55" s="48">
        <f>ROUNDUP(Sim[[#This Row],[Avg daily demand]]*Sim[[#This Row],[LT]]+Sim[[#This Row],[SS]],0)</f>
        <v>0</v>
      </c>
      <c r="T5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5" s="47"/>
    </row>
    <row r="56" spans="1:22" x14ac:dyDescent="0.2">
      <c r="A56" s="46">
        <v>893</v>
      </c>
      <c r="B56" s="40" t="s">
        <v>38</v>
      </c>
      <c r="C56" s="56">
        <v>0</v>
      </c>
      <c r="D56" s="56">
        <v>0</v>
      </c>
      <c r="E56" s="47">
        <v>0</v>
      </c>
      <c r="F56" s="48">
        <v>9</v>
      </c>
      <c r="G56" s="48">
        <f>Sim[[#This Row],[Avg daily demand]]*Sim[[#This Row],[Seed days]]</f>
        <v>0</v>
      </c>
      <c r="H56" s="49">
        <f>Sim[[#This Row],[Seed on-hand]]-Sim[[#This Row],[Sept units]]</f>
        <v>0</v>
      </c>
      <c r="I56" s="44">
        <f>Sim[[#This Row],[Sept units]]/30</f>
        <v>0</v>
      </c>
      <c r="J5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6" s="47">
        <f>IFERROR(Sim[[#This Row],[Ending on-hand]]/Sim[[#This Row],[Sept daily rate]],0)</f>
        <v>0</v>
      </c>
      <c r="L56" s="50" t="str">
        <f>_xlfn.XLOOKUP(Sim[[#This Row],[Product ID]],Table3[Product ID],Table3[Rev class],,0)</f>
        <v>B</v>
      </c>
      <c r="M56" s="47">
        <v>2.9792387543252596</v>
      </c>
      <c r="N56" s="43">
        <v>24.989999770000001</v>
      </c>
      <c r="O56" s="47">
        <f>IFERROR(_xlfn.STDEV.S(_xlfn.XLOOKUP(Sim[[#This Row],[Product ID]],Demand!$A$2:$A$101,Demand!$AD$2:$AG$101)),0)</f>
        <v>0</v>
      </c>
      <c r="P56" s="47">
        <f>Sim[[#This Row],[SigmaMonthly]]/SQRT(30)</f>
        <v>0</v>
      </c>
      <c r="Q56" s="44">
        <f>_xlfn.NORM.S.INV(_xlfn.XLOOKUP(Sim[[#This Row],[Class]],ServiceTbl[Class],ServiceTbl[Level]))</f>
        <v>1.6448536269514715</v>
      </c>
      <c r="R56" s="48">
        <f>ROUNDUP(Sim[[#This Row],[Z]]*Sim[[#This Row],[SigmaDaily]]*SQRT(Sim[[#This Row],[LT]]),0)</f>
        <v>0</v>
      </c>
      <c r="S56" s="48">
        <f>ROUNDUP(Sim[[#This Row],[Avg daily demand]]*Sim[[#This Row],[LT]]+Sim[[#This Row],[SS]],0)</f>
        <v>0</v>
      </c>
      <c r="T5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6" s="47"/>
    </row>
    <row r="57" spans="1:22" x14ac:dyDescent="0.2">
      <c r="A57" s="46">
        <v>828</v>
      </c>
      <c r="B57" s="40" t="s">
        <v>8</v>
      </c>
      <c r="C57" s="56">
        <v>0</v>
      </c>
      <c r="D57" s="56">
        <v>0</v>
      </c>
      <c r="E57" s="47">
        <v>0</v>
      </c>
      <c r="F57" s="48">
        <v>65</v>
      </c>
      <c r="G57" s="48">
        <f>Sim[[#This Row],[Avg daily demand]]*Sim[[#This Row],[Seed days]]</f>
        <v>0</v>
      </c>
      <c r="H57" s="49">
        <f>Sim[[#This Row],[Seed on-hand]]-Sim[[#This Row],[Sept units]]</f>
        <v>0</v>
      </c>
      <c r="I57" s="44">
        <f>Sim[[#This Row],[Sept units]]/30</f>
        <v>0</v>
      </c>
      <c r="J5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7" s="47">
        <f>IFERROR(Sim[[#This Row],[Ending on-hand]]/Sim[[#This Row],[Sept daily rate]],0)</f>
        <v>0</v>
      </c>
      <c r="L57" s="50" t="str">
        <f>_xlfn.XLOOKUP(Sim[[#This Row],[Product ID]],Table3[Product ID],Table3[Rev class],,0)</f>
        <v>B</v>
      </c>
      <c r="M57" s="47">
        <v>2.9030100334448159</v>
      </c>
      <c r="N57" s="43">
        <v>31.989999770000001</v>
      </c>
      <c r="O57" s="47">
        <f>IFERROR(_xlfn.STDEV.S(_xlfn.XLOOKUP(Sim[[#This Row],[Product ID]],Demand!$A$2:$A$101,Demand!$AD$2:$AG$101)),0)</f>
        <v>0</v>
      </c>
      <c r="P57" s="47">
        <f>Sim[[#This Row],[SigmaMonthly]]/SQRT(30)</f>
        <v>0</v>
      </c>
      <c r="Q57" s="44">
        <f>_xlfn.NORM.S.INV(_xlfn.XLOOKUP(Sim[[#This Row],[Class]],ServiceTbl[Class],ServiceTbl[Level]))</f>
        <v>1.6448536269514715</v>
      </c>
      <c r="R57" s="48">
        <f>ROUNDUP(Sim[[#This Row],[Z]]*Sim[[#This Row],[SigmaDaily]]*SQRT(Sim[[#This Row],[LT]]),0)</f>
        <v>0</v>
      </c>
      <c r="S57" s="48">
        <f>ROUNDUP(Sim[[#This Row],[Avg daily demand]]*Sim[[#This Row],[LT]]+Sim[[#This Row],[SS]],0)</f>
        <v>0</v>
      </c>
      <c r="T5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7" s="47"/>
    </row>
    <row r="58" spans="1:22" x14ac:dyDescent="0.2">
      <c r="A58" s="46">
        <v>906</v>
      </c>
      <c r="B58" s="40" t="s">
        <v>21</v>
      </c>
      <c r="C58" s="56">
        <v>0</v>
      </c>
      <c r="D58" s="56">
        <v>0</v>
      </c>
      <c r="E58" s="47">
        <v>0</v>
      </c>
      <c r="F58" s="48">
        <v>21</v>
      </c>
      <c r="G58" s="48">
        <f>Sim[[#This Row],[Avg daily demand]]*Sim[[#This Row],[Seed days]]</f>
        <v>0</v>
      </c>
      <c r="H58" s="49">
        <f>Sim[[#This Row],[Seed on-hand]]-Sim[[#This Row],[Sept units]]</f>
        <v>0</v>
      </c>
      <c r="I58" s="44">
        <f>Sim[[#This Row],[Sept units]]/30</f>
        <v>0</v>
      </c>
      <c r="J5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8" s="47">
        <f>IFERROR(Sim[[#This Row],[Ending on-hand]]/Sim[[#This Row],[Sept daily rate]],0)</f>
        <v>0</v>
      </c>
      <c r="L58" s="50" t="str">
        <f>_xlfn.XLOOKUP(Sim[[#This Row],[Product ID]],Table3[Product ID],Table3[Rev class],,0)</f>
        <v>B</v>
      </c>
      <c r="M58" s="47">
        <v>2.908450704225352</v>
      </c>
      <c r="N58" s="43">
        <v>24.989999770000001</v>
      </c>
      <c r="O58" s="47">
        <f>IFERROR(_xlfn.STDEV.S(_xlfn.XLOOKUP(Sim[[#This Row],[Product ID]],Demand!$A$2:$A$101,Demand!$AD$2:$AG$101)),0)</f>
        <v>0</v>
      </c>
      <c r="P58" s="47">
        <f>Sim[[#This Row],[SigmaMonthly]]/SQRT(30)</f>
        <v>0</v>
      </c>
      <c r="Q58" s="44">
        <f>_xlfn.NORM.S.INV(_xlfn.XLOOKUP(Sim[[#This Row],[Class]],ServiceTbl[Class],ServiceTbl[Level]))</f>
        <v>1.6448536269514715</v>
      </c>
      <c r="R58" s="48">
        <f>ROUNDUP(Sim[[#This Row],[Z]]*Sim[[#This Row],[SigmaDaily]]*SQRT(Sim[[#This Row],[LT]]),0)</f>
        <v>0</v>
      </c>
      <c r="S58" s="48">
        <f>ROUNDUP(Sim[[#This Row],[Avg daily demand]]*Sim[[#This Row],[LT]]+Sim[[#This Row],[SS]],0)</f>
        <v>0</v>
      </c>
      <c r="T5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8" s="47"/>
    </row>
    <row r="59" spans="1:22" x14ac:dyDescent="0.2">
      <c r="A59" s="46">
        <v>276</v>
      </c>
      <c r="B59" s="40" t="s">
        <v>37</v>
      </c>
      <c r="C59" s="56">
        <v>0</v>
      </c>
      <c r="D59" s="56">
        <v>0</v>
      </c>
      <c r="E59" s="47">
        <v>0</v>
      </c>
      <c r="F59" s="48">
        <v>86</v>
      </c>
      <c r="G59" s="48">
        <f>Sim[[#This Row],[Avg daily demand]]*Sim[[#This Row],[Seed days]]</f>
        <v>0</v>
      </c>
      <c r="H59" s="49">
        <f>Sim[[#This Row],[Seed on-hand]]-Sim[[#This Row],[Sept units]]</f>
        <v>0</v>
      </c>
      <c r="I59" s="44">
        <f>Sim[[#This Row],[Sept units]]/30</f>
        <v>0</v>
      </c>
      <c r="J5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59" s="47">
        <f>IFERROR(Sim[[#This Row],[Ending on-hand]]/Sim[[#This Row],[Sept daily rate]],0)</f>
        <v>0</v>
      </c>
      <c r="L59" s="50" t="str">
        <f>_xlfn.XLOOKUP(Sim[[#This Row],[Product ID]],Table3[Product ID],Table3[Rev class],,0)</f>
        <v>B</v>
      </c>
      <c r="M59" s="47">
        <v>3.057627118644068</v>
      </c>
      <c r="N59" s="43">
        <v>31.989999770000001</v>
      </c>
      <c r="O59" s="47">
        <f>IFERROR(_xlfn.STDEV.S(_xlfn.XLOOKUP(Sim[[#This Row],[Product ID]],Demand!$A$2:$A$101,Demand!$AD$2:$AG$101)),0)</f>
        <v>0</v>
      </c>
      <c r="P59" s="47">
        <f>Sim[[#This Row],[SigmaMonthly]]/SQRT(30)</f>
        <v>0</v>
      </c>
      <c r="Q59" s="44">
        <f>_xlfn.NORM.S.INV(_xlfn.XLOOKUP(Sim[[#This Row],[Class]],ServiceTbl[Class],ServiceTbl[Level]))</f>
        <v>1.6448536269514715</v>
      </c>
      <c r="R59" s="48">
        <f>ROUNDUP(Sim[[#This Row],[Z]]*Sim[[#This Row],[SigmaDaily]]*SQRT(Sim[[#This Row],[LT]]),0)</f>
        <v>0</v>
      </c>
      <c r="S59" s="48">
        <f>ROUNDUP(Sim[[#This Row],[Avg daily demand]]*Sim[[#This Row],[LT]]+Sim[[#This Row],[SS]],0)</f>
        <v>0</v>
      </c>
      <c r="T5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5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59" s="47"/>
    </row>
    <row r="60" spans="1:22" x14ac:dyDescent="0.2">
      <c r="A60" s="46">
        <v>703</v>
      </c>
      <c r="B60" s="40" t="s">
        <v>90</v>
      </c>
      <c r="C60" s="56">
        <v>0</v>
      </c>
      <c r="D60" s="56">
        <v>0</v>
      </c>
      <c r="E60" s="47">
        <v>0</v>
      </c>
      <c r="F60" s="48">
        <v>32</v>
      </c>
      <c r="G60" s="48">
        <f>Sim[[#This Row],[Avg daily demand]]*Sim[[#This Row],[Seed days]]</f>
        <v>0</v>
      </c>
      <c r="H60" s="49">
        <f>Sim[[#This Row],[Seed on-hand]]-Sim[[#This Row],[Sept units]]</f>
        <v>0</v>
      </c>
      <c r="I60" s="44">
        <f>Sim[[#This Row],[Sept units]]/30</f>
        <v>0</v>
      </c>
      <c r="J6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0" s="47">
        <f>IFERROR(Sim[[#This Row],[Ending on-hand]]/Sim[[#This Row],[Sept daily rate]],0)</f>
        <v>0</v>
      </c>
      <c r="L60" s="50" t="str">
        <f>_xlfn.XLOOKUP(Sim[[#This Row],[Product ID]],Table3[Product ID],Table3[Rev class],,0)</f>
        <v>B</v>
      </c>
      <c r="M60" s="47">
        <v>3.0202702702702702</v>
      </c>
      <c r="N60" s="43">
        <v>19.989999770000001</v>
      </c>
      <c r="O60" s="47">
        <f>IFERROR(_xlfn.STDEV.S(_xlfn.XLOOKUP(Sim[[#This Row],[Product ID]],Demand!$A$2:$A$101,Demand!$AD$2:$AG$101)),0)</f>
        <v>0</v>
      </c>
      <c r="P60" s="47">
        <f>Sim[[#This Row],[SigmaMonthly]]/SQRT(30)</f>
        <v>0</v>
      </c>
      <c r="Q60" s="44">
        <f>_xlfn.NORM.S.INV(_xlfn.XLOOKUP(Sim[[#This Row],[Class]],ServiceTbl[Class],ServiceTbl[Level]))</f>
        <v>1.6448536269514715</v>
      </c>
      <c r="R60" s="48">
        <f>ROUNDUP(Sim[[#This Row],[Z]]*Sim[[#This Row],[SigmaDaily]]*SQRT(Sim[[#This Row],[LT]]),0)</f>
        <v>0</v>
      </c>
      <c r="S60" s="48">
        <f>ROUNDUP(Sim[[#This Row],[Avg daily demand]]*Sim[[#This Row],[LT]]+Sim[[#This Row],[SS]],0)</f>
        <v>0</v>
      </c>
      <c r="T6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0" s="47"/>
    </row>
    <row r="61" spans="1:22" x14ac:dyDescent="0.2">
      <c r="A61" s="46">
        <v>172</v>
      </c>
      <c r="B61" s="40" t="s">
        <v>44</v>
      </c>
      <c r="C61" s="56">
        <v>0</v>
      </c>
      <c r="D61" s="56">
        <v>0</v>
      </c>
      <c r="E61" s="47">
        <v>0</v>
      </c>
      <c r="F61" s="48">
        <v>73</v>
      </c>
      <c r="G61" s="48">
        <f>Sim[[#This Row],[Avg daily demand]]*Sim[[#This Row],[Seed days]]</f>
        <v>0</v>
      </c>
      <c r="H61" s="49">
        <f>Sim[[#This Row],[Seed on-hand]]-Sim[[#This Row],[Sept units]]</f>
        <v>0</v>
      </c>
      <c r="I61" s="44">
        <f>Sim[[#This Row],[Sept units]]/30</f>
        <v>0</v>
      </c>
      <c r="J6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1" s="47">
        <f>IFERROR(Sim[[#This Row],[Ending on-hand]]/Sim[[#This Row],[Sept daily rate]],0)</f>
        <v>0</v>
      </c>
      <c r="L61" s="50" t="str">
        <f>_xlfn.XLOOKUP(Sim[[#This Row],[Product ID]],Table3[Product ID],Table3[Rev class],,0)</f>
        <v>B</v>
      </c>
      <c r="M61" s="47">
        <v>2.9933774834437088</v>
      </c>
      <c r="N61" s="43">
        <v>30</v>
      </c>
      <c r="O61" s="47">
        <f>IFERROR(_xlfn.STDEV.S(_xlfn.XLOOKUP(Sim[[#This Row],[Product ID]],Demand!$A$2:$A$101,Demand!$AD$2:$AG$101)),0)</f>
        <v>0</v>
      </c>
      <c r="P61" s="47">
        <f>Sim[[#This Row],[SigmaMonthly]]/SQRT(30)</f>
        <v>0</v>
      </c>
      <c r="Q61" s="44">
        <f>_xlfn.NORM.S.INV(_xlfn.XLOOKUP(Sim[[#This Row],[Class]],ServiceTbl[Class],ServiceTbl[Level]))</f>
        <v>1.6448536269514715</v>
      </c>
      <c r="R61" s="48">
        <f>ROUNDUP(Sim[[#This Row],[Z]]*Sim[[#This Row],[SigmaDaily]]*SQRT(Sim[[#This Row],[LT]]),0)</f>
        <v>0</v>
      </c>
      <c r="S61" s="48">
        <f>ROUNDUP(Sim[[#This Row],[Avg daily demand]]*Sim[[#This Row],[LT]]+Sim[[#This Row],[SS]],0)</f>
        <v>0</v>
      </c>
      <c r="T6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1" s="47"/>
    </row>
    <row r="62" spans="1:22" x14ac:dyDescent="0.2">
      <c r="A62" s="46">
        <v>797</v>
      </c>
      <c r="B62" s="40" t="s">
        <v>55</v>
      </c>
      <c r="C62" s="56">
        <v>0</v>
      </c>
      <c r="D62" s="56">
        <v>0</v>
      </c>
      <c r="E62" s="47">
        <v>0</v>
      </c>
      <c r="F62" s="48">
        <v>65</v>
      </c>
      <c r="G62" s="48">
        <f>Sim[[#This Row],[Avg daily demand]]*Sim[[#This Row],[Seed days]]</f>
        <v>0</v>
      </c>
      <c r="H62" s="49">
        <f>Sim[[#This Row],[Seed on-hand]]-Sim[[#This Row],[Sept units]]</f>
        <v>0</v>
      </c>
      <c r="I62" s="44">
        <f>Sim[[#This Row],[Sept units]]/30</f>
        <v>0</v>
      </c>
      <c r="J6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2" s="47">
        <f>IFERROR(Sim[[#This Row],[Ending on-hand]]/Sim[[#This Row],[Sept daily rate]],0)</f>
        <v>0</v>
      </c>
      <c r="L62" s="50" t="str">
        <f>_xlfn.XLOOKUP(Sim[[#This Row],[Product ID]],Table3[Product ID],Table3[Rev class],,0)</f>
        <v>B</v>
      </c>
      <c r="M62" s="47">
        <v>2.9198606271777003</v>
      </c>
      <c r="N62" s="43">
        <v>17.989999770000001</v>
      </c>
      <c r="O62" s="47">
        <f>IFERROR(_xlfn.STDEV.S(_xlfn.XLOOKUP(Sim[[#This Row],[Product ID]],Demand!$A$2:$A$101,Demand!$AD$2:$AG$101)),0)</f>
        <v>0</v>
      </c>
      <c r="P62" s="47">
        <f>Sim[[#This Row],[SigmaMonthly]]/SQRT(30)</f>
        <v>0</v>
      </c>
      <c r="Q62" s="44">
        <f>_xlfn.NORM.S.INV(_xlfn.XLOOKUP(Sim[[#This Row],[Class]],ServiceTbl[Class],ServiceTbl[Level]))</f>
        <v>1.6448536269514715</v>
      </c>
      <c r="R62" s="48">
        <f>ROUNDUP(Sim[[#This Row],[Z]]*Sim[[#This Row],[SigmaDaily]]*SQRT(Sim[[#This Row],[LT]]),0)</f>
        <v>0</v>
      </c>
      <c r="S62" s="48">
        <f>ROUNDUP(Sim[[#This Row],[Avg daily demand]]*Sim[[#This Row],[LT]]+Sim[[#This Row],[SS]],0)</f>
        <v>0</v>
      </c>
      <c r="T6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2" s="47"/>
    </row>
    <row r="63" spans="1:22" x14ac:dyDescent="0.2">
      <c r="A63" s="46">
        <v>818</v>
      </c>
      <c r="B63" s="40" t="s">
        <v>10</v>
      </c>
      <c r="C63" s="56">
        <v>0</v>
      </c>
      <c r="D63" s="56">
        <v>0</v>
      </c>
      <c r="E63" s="47">
        <v>0</v>
      </c>
      <c r="F63" s="48">
        <v>23</v>
      </c>
      <c r="G63" s="48">
        <f>Sim[[#This Row],[Avg daily demand]]*Sim[[#This Row],[Seed days]]</f>
        <v>0</v>
      </c>
      <c r="H63" s="49">
        <f>Sim[[#This Row],[Seed on-hand]]-Sim[[#This Row],[Sept units]]</f>
        <v>0</v>
      </c>
      <c r="I63" s="44">
        <f>Sim[[#This Row],[Sept units]]/30</f>
        <v>0</v>
      </c>
      <c r="J6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3" s="47">
        <f>IFERROR(Sim[[#This Row],[Ending on-hand]]/Sim[[#This Row],[Sept daily rate]],0)</f>
        <v>0</v>
      </c>
      <c r="L63" s="50" t="str">
        <f>_xlfn.XLOOKUP(Sim[[#This Row],[Product ID]],Table3[Product ID],Table3[Rev class],,0)</f>
        <v>B</v>
      </c>
      <c r="M63" s="47">
        <v>3.0319148936170213</v>
      </c>
      <c r="N63" s="43">
        <v>47.990001679999999</v>
      </c>
      <c r="O63" s="47">
        <f>IFERROR(_xlfn.STDEV.S(_xlfn.XLOOKUP(Sim[[#This Row],[Product ID]],Demand!$A$2:$A$101,Demand!$AD$2:$AG$101)),0)</f>
        <v>0</v>
      </c>
      <c r="P63" s="47">
        <f>Sim[[#This Row],[SigmaMonthly]]/SQRT(30)</f>
        <v>0</v>
      </c>
      <c r="Q63" s="44">
        <f>_xlfn.NORM.S.INV(_xlfn.XLOOKUP(Sim[[#This Row],[Class]],ServiceTbl[Class],ServiceTbl[Level]))</f>
        <v>1.6448536269514715</v>
      </c>
      <c r="R63" s="48">
        <f>ROUNDUP(Sim[[#This Row],[Z]]*Sim[[#This Row],[SigmaDaily]]*SQRT(Sim[[#This Row],[LT]]),0)</f>
        <v>0</v>
      </c>
      <c r="S63" s="48">
        <f>ROUNDUP(Sim[[#This Row],[Avg daily demand]]*Sim[[#This Row],[LT]]+Sim[[#This Row],[SS]],0)</f>
        <v>0</v>
      </c>
      <c r="T6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3" s="47"/>
    </row>
    <row r="64" spans="1:22" x14ac:dyDescent="0.2">
      <c r="A64" s="46">
        <v>564</v>
      </c>
      <c r="B64" s="40" t="s">
        <v>19</v>
      </c>
      <c r="C64" s="56">
        <v>0</v>
      </c>
      <c r="D64" s="56">
        <v>0</v>
      </c>
      <c r="E64" s="47">
        <v>0</v>
      </c>
      <c r="F64" s="48">
        <v>91</v>
      </c>
      <c r="G64" s="48">
        <f>Sim[[#This Row],[Avg daily demand]]*Sim[[#This Row],[Seed days]]</f>
        <v>0</v>
      </c>
      <c r="H64" s="49">
        <f>Sim[[#This Row],[Seed on-hand]]-Sim[[#This Row],[Sept units]]</f>
        <v>0</v>
      </c>
      <c r="I64" s="44">
        <f>Sim[[#This Row],[Sept units]]/30</f>
        <v>0</v>
      </c>
      <c r="J6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4" s="47">
        <f>IFERROR(Sim[[#This Row],[Ending on-hand]]/Sim[[#This Row],[Sept daily rate]],0)</f>
        <v>0</v>
      </c>
      <c r="L64" s="50" t="str">
        <f>_xlfn.XLOOKUP(Sim[[#This Row],[Product ID]],Table3[Product ID],Table3[Rev class],,0)</f>
        <v>B</v>
      </c>
      <c r="M64" s="47">
        <v>2.8014184397163122</v>
      </c>
      <c r="N64" s="43">
        <v>30</v>
      </c>
      <c r="O64" s="47">
        <f>IFERROR(_xlfn.STDEV.S(_xlfn.XLOOKUP(Sim[[#This Row],[Product ID]],Demand!$A$2:$A$101,Demand!$AD$2:$AG$101)),0)</f>
        <v>0</v>
      </c>
      <c r="P64" s="47">
        <f>Sim[[#This Row],[SigmaMonthly]]/SQRT(30)</f>
        <v>0</v>
      </c>
      <c r="Q64" s="44">
        <f>_xlfn.NORM.S.INV(_xlfn.XLOOKUP(Sim[[#This Row],[Class]],ServiceTbl[Class],ServiceTbl[Level]))</f>
        <v>1.6448536269514715</v>
      </c>
      <c r="R64" s="48">
        <f>ROUNDUP(Sim[[#This Row],[Z]]*Sim[[#This Row],[SigmaDaily]]*SQRT(Sim[[#This Row],[LT]]),0)</f>
        <v>0</v>
      </c>
      <c r="S64" s="48">
        <f>ROUNDUP(Sim[[#This Row],[Avg daily demand]]*Sim[[#This Row],[LT]]+Sim[[#This Row],[SS]],0)</f>
        <v>0</v>
      </c>
      <c r="T6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4" s="47"/>
    </row>
    <row r="65" spans="1:22" x14ac:dyDescent="0.2">
      <c r="A65" s="46">
        <v>135</v>
      </c>
      <c r="B65" s="40" t="s">
        <v>58</v>
      </c>
      <c r="C65" s="56">
        <v>0</v>
      </c>
      <c r="D65" s="56">
        <v>0</v>
      </c>
      <c r="E65" s="47">
        <v>0</v>
      </c>
      <c r="F65" s="48">
        <v>52</v>
      </c>
      <c r="G65" s="48">
        <f>Sim[[#This Row],[Avg daily demand]]*Sim[[#This Row],[Seed days]]</f>
        <v>0</v>
      </c>
      <c r="H65" s="49">
        <f>Sim[[#This Row],[Seed on-hand]]-Sim[[#This Row],[Sept units]]</f>
        <v>0</v>
      </c>
      <c r="I65" s="44">
        <f>Sim[[#This Row],[Sept units]]/30</f>
        <v>0</v>
      </c>
      <c r="J6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5" s="47">
        <f>IFERROR(Sim[[#This Row],[Ending on-hand]]/Sim[[#This Row],[Sept daily rate]],0)</f>
        <v>0</v>
      </c>
      <c r="L65" s="50" t="str">
        <f>_xlfn.XLOOKUP(Sim[[#This Row],[Product ID]],Table3[Product ID],Table3[Rev class],,0)</f>
        <v>B</v>
      </c>
      <c r="M65" s="47">
        <v>3.0271186440677966</v>
      </c>
      <c r="N65" s="43">
        <v>22</v>
      </c>
      <c r="O65" s="47">
        <f>IFERROR(_xlfn.STDEV.S(_xlfn.XLOOKUP(Sim[[#This Row],[Product ID]],Demand!$A$2:$A$101,Demand!$AD$2:$AG$101)),0)</f>
        <v>0</v>
      </c>
      <c r="P65" s="47">
        <f>Sim[[#This Row],[SigmaMonthly]]/SQRT(30)</f>
        <v>0</v>
      </c>
      <c r="Q65" s="44">
        <f>_xlfn.NORM.S.INV(_xlfn.XLOOKUP(Sim[[#This Row],[Class]],ServiceTbl[Class],ServiceTbl[Level]))</f>
        <v>1.6448536269514715</v>
      </c>
      <c r="R65" s="48">
        <f>ROUNDUP(Sim[[#This Row],[Z]]*Sim[[#This Row],[SigmaDaily]]*SQRT(Sim[[#This Row],[LT]]),0)</f>
        <v>0</v>
      </c>
      <c r="S65" s="48">
        <f>ROUNDUP(Sim[[#This Row],[Avg daily demand]]*Sim[[#This Row],[LT]]+Sim[[#This Row],[SS]],0)</f>
        <v>0</v>
      </c>
      <c r="T6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5" s="47"/>
    </row>
    <row r="66" spans="1:22" x14ac:dyDescent="0.2">
      <c r="A66" s="46">
        <v>905</v>
      </c>
      <c r="B66" s="40" t="s">
        <v>33</v>
      </c>
      <c r="C66" s="56">
        <v>0</v>
      </c>
      <c r="D66" s="56">
        <v>0</v>
      </c>
      <c r="E66" s="47">
        <v>0</v>
      </c>
      <c r="F66" s="48">
        <v>84</v>
      </c>
      <c r="G66" s="48">
        <f>Sim[[#This Row],[Avg daily demand]]*Sim[[#This Row],[Seed days]]</f>
        <v>0</v>
      </c>
      <c r="H66" s="49">
        <f>Sim[[#This Row],[Seed on-hand]]-Sim[[#This Row],[Sept units]]</f>
        <v>0</v>
      </c>
      <c r="I66" s="44">
        <f>Sim[[#This Row],[Sept units]]/30</f>
        <v>0</v>
      </c>
      <c r="J6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6" s="47">
        <f>IFERROR(Sim[[#This Row],[Ending on-hand]]/Sim[[#This Row],[Sept daily rate]],0)</f>
        <v>0</v>
      </c>
      <c r="L66" s="50" t="str">
        <f>_xlfn.XLOOKUP(Sim[[#This Row],[Product ID]],Table3[Product ID],Table3[Rev class],,0)</f>
        <v>B</v>
      </c>
      <c r="M66" s="47">
        <v>2.8510638297872339</v>
      </c>
      <c r="N66" s="43">
        <v>24.989999770000001</v>
      </c>
      <c r="O66" s="47">
        <f>IFERROR(_xlfn.STDEV.S(_xlfn.XLOOKUP(Sim[[#This Row],[Product ID]],Demand!$A$2:$A$101,Demand!$AD$2:$AG$101)),0)</f>
        <v>0</v>
      </c>
      <c r="P66" s="47">
        <f>Sim[[#This Row],[SigmaMonthly]]/SQRT(30)</f>
        <v>0</v>
      </c>
      <c r="Q66" s="44">
        <f>_xlfn.NORM.S.INV(_xlfn.XLOOKUP(Sim[[#This Row],[Class]],ServiceTbl[Class],ServiceTbl[Level]))</f>
        <v>1.6448536269514715</v>
      </c>
      <c r="R66" s="48">
        <f>ROUNDUP(Sim[[#This Row],[Z]]*Sim[[#This Row],[SigmaDaily]]*SQRT(Sim[[#This Row],[LT]]),0)</f>
        <v>0</v>
      </c>
      <c r="S66" s="48">
        <f>ROUNDUP(Sim[[#This Row],[Avg daily demand]]*Sim[[#This Row],[LT]]+Sim[[#This Row],[SS]],0)</f>
        <v>0</v>
      </c>
      <c r="T6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6" s="47"/>
    </row>
    <row r="67" spans="1:22" x14ac:dyDescent="0.2">
      <c r="A67" s="46">
        <v>775</v>
      </c>
      <c r="B67" s="40" t="s">
        <v>79</v>
      </c>
      <c r="C67" s="56">
        <v>0</v>
      </c>
      <c r="D67" s="56">
        <v>0</v>
      </c>
      <c r="E67" s="47">
        <v>0</v>
      </c>
      <c r="F67" s="48">
        <v>136</v>
      </c>
      <c r="G67" s="48">
        <f>Sim[[#This Row],[Avg daily demand]]*Sim[[#This Row],[Seed days]]</f>
        <v>0</v>
      </c>
      <c r="H67" s="49">
        <f>Sim[[#This Row],[Seed on-hand]]-Sim[[#This Row],[Sept units]]</f>
        <v>0</v>
      </c>
      <c r="I67" s="44">
        <f>Sim[[#This Row],[Sept units]]/30</f>
        <v>0</v>
      </c>
      <c r="J6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7" s="47">
        <f>IFERROR(Sim[[#This Row],[Ending on-hand]]/Sim[[#This Row],[Sept daily rate]],0)</f>
        <v>0</v>
      </c>
      <c r="L67" s="50" t="str">
        <f>_xlfn.XLOOKUP(Sim[[#This Row],[Product ID]],Table3[Product ID],Table3[Rev class],,0)</f>
        <v>C</v>
      </c>
      <c r="M67" s="47">
        <v>2.9743589743589745</v>
      </c>
      <c r="N67" s="43">
        <v>9.9899997710000008</v>
      </c>
      <c r="O67" s="47">
        <f>IFERROR(_xlfn.STDEV.S(_xlfn.XLOOKUP(Sim[[#This Row],[Product ID]],Demand!$A$2:$A$101,Demand!$AD$2:$AG$101)),0)</f>
        <v>0</v>
      </c>
      <c r="P67" s="47">
        <f>Sim[[#This Row],[SigmaMonthly]]/SQRT(30)</f>
        <v>0</v>
      </c>
      <c r="Q67" s="44">
        <f>_xlfn.NORM.S.INV(_xlfn.XLOOKUP(Sim[[#This Row],[Class]],ServiceTbl[Class],ServiceTbl[Level]))</f>
        <v>1.2815515655446006</v>
      </c>
      <c r="R67" s="48">
        <f>ROUNDUP(Sim[[#This Row],[Z]]*Sim[[#This Row],[SigmaDaily]]*SQRT(Sim[[#This Row],[LT]]),0)</f>
        <v>0</v>
      </c>
      <c r="S67" s="48">
        <f>ROUNDUP(Sim[[#This Row],[Avg daily demand]]*Sim[[#This Row],[LT]]+Sim[[#This Row],[SS]],0)</f>
        <v>0</v>
      </c>
      <c r="T6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7" s="47"/>
    </row>
    <row r="68" spans="1:22" x14ac:dyDescent="0.2">
      <c r="A68" s="46">
        <v>572</v>
      </c>
      <c r="B68" s="40" t="s">
        <v>32</v>
      </c>
      <c r="C68" s="56">
        <v>0</v>
      </c>
      <c r="D68" s="56">
        <v>0</v>
      </c>
      <c r="E68" s="47">
        <v>0</v>
      </c>
      <c r="F68" s="48">
        <v>109</v>
      </c>
      <c r="G68" s="48">
        <f>Sim[[#This Row],[Avg daily demand]]*Sim[[#This Row],[Seed days]]</f>
        <v>0</v>
      </c>
      <c r="H68" s="49">
        <f>Sim[[#This Row],[Seed on-hand]]-Sim[[#This Row],[Sept units]]</f>
        <v>0</v>
      </c>
      <c r="I68" s="44">
        <f>Sim[[#This Row],[Sept units]]/30</f>
        <v>0</v>
      </c>
      <c r="J6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8" s="47">
        <f>IFERROR(Sim[[#This Row],[Ending on-hand]]/Sim[[#This Row],[Sept daily rate]],0)</f>
        <v>0</v>
      </c>
      <c r="L68" s="50" t="str">
        <f>_xlfn.XLOOKUP(Sim[[#This Row],[Product ID]],Table3[Product ID],Table3[Rev class],,0)</f>
        <v>B</v>
      </c>
      <c r="M68" s="47">
        <v>3.024390243902439</v>
      </c>
      <c r="N68" s="43">
        <v>39.990001679999999</v>
      </c>
      <c r="O68" s="47">
        <f>IFERROR(_xlfn.STDEV.S(_xlfn.XLOOKUP(Sim[[#This Row],[Product ID]],Demand!$A$2:$A$101,Demand!$AD$2:$AG$101)),0)</f>
        <v>0</v>
      </c>
      <c r="P68" s="47">
        <f>Sim[[#This Row],[SigmaMonthly]]/SQRT(30)</f>
        <v>0</v>
      </c>
      <c r="Q68" s="44">
        <f>_xlfn.NORM.S.INV(_xlfn.XLOOKUP(Sim[[#This Row],[Class]],ServiceTbl[Class],ServiceTbl[Level]))</f>
        <v>1.6448536269514715</v>
      </c>
      <c r="R68" s="48">
        <f>ROUNDUP(Sim[[#This Row],[Z]]*Sim[[#This Row],[SigmaDaily]]*SQRT(Sim[[#This Row],[LT]]),0)</f>
        <v>0</v>
      </c>
      <c r="S68" s="48">
        <f>ROUNDUP(Sim[[#This Row],[Avg daily demand]]*Sim[[#This Row],[LT]]+Sim[[#This Row],[SS]],0)</f>
        <v>0</v>
      </c>
      <c r="T6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8" s="47"/>
    </row>
    <row r="69" spans="1:22" x14ac:dyDescent="0.2">
      <c r="A69" s="46">
        <v>793</v>
      </c>
      <c r="B69" s="40" t="s">
        <v>74</v>
      </c>
      <c r="C69" s="56">
        <v>0</v>
      </c>
      <c r="D69" s="56">
        <v>0</v>
      </c>
      <c r="E69" s="47">
        <v>0</v>
      </c>
      <c r="F69" s="48">
        <v>73</v>
      </c>
      <c r="G69" s="48">
        <f>Sim[[#This Row],[Avg daily demand]]*Sim[[#This Row],[Seed days]]</f>
        <v>0</v>
      </c>
      <c r="H69" s="49">
        <f>Sim[[#This Row],[Seed on-hand]]-Sim[[#This Row],[Sept units]]</f>
        <v>0</v>
      </c>
      <c r="I69" s="44">
        <f>Sim[[#This Row],[Sept units]]/30</f>
        <v>0</v>
      </c>
      <c r="J6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69" s="47">
        <f>IFERROR(Sim[[#This Row],[Ending on-hand]]/Sim[[#This Row],[Sept daily rate]],0)</f>
        <v>0</v>
      </c>
      <c r="L69" s="50" t="str">
        <f>_xlfn.XLOOKUP(Sim[[#This Row],[Product ID]],Table3[Product ID],Table3[Rev class],,0)</f>
        <v>C</v>
      </c>
      <c r="M69" s="47">
        <v>3.1326530612244898</v>
      </c>
      <c r="N69" s="43">
        <v>14.989999770000001</v>
      </c>
      <c r="O69" s="47">
        <f>IFERROR(_xlfn.STDEV.S(_xlfn.XLOOKUP(Sim[[#This Row],[Product ID]],Demand!$A$2:$A$101,Demand!$AD$2:$AG$101)),0)</f>
        <v>0</v>
      </c>
      <c r="P69" s="47">
        <f>Sim[[#This Row],[SigmaMonthly]]/SQRT(30)</f>
        <v>0</v>
      </c>
      <c r="Q69" s="44">
        <f>_xlfn.NORM.S.INV(_xlfn.XLOOKUP(Sim[[#This Row],[Class]],ServiceTbl[Class],ServiceTbl[Level]))</f>
        <v>1.2815515655446006</v>
      </c>
      <c r="R69" s="48">
        <f>ROUNDUP(Sim[[#This Row],[Z]]*Sim[[#This Row],[SigmaDaily]]*SQRT(Sim[[#This Row],[LT]]),0)</f>
        <v>0</v>
      </c>
      <c r="S69" s="48">
        <f>ROUNDUP(Sim[[#This Row],[Avg daily demand]]*Sim[[#This Row],[LT]]+Sim[[#This Row],[SS]],0)</f>
        <v>0</v>
      </c>
      <c r="T6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6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69" s="47"/>
    </row>
    <row r="70" spans="1:22" x14ac:dyDescent="0.2">
      <c r="A70" s="46">
        <v>924</v>
      </c>
      <c r="B70" s="40" t="s">
        <v>24</v>
      </c>
      <c r="C70" s="56">
        <v>0</v>
      </c>
      <c r="D70" s="56">
        <v>0</v>
      </c>
      <c r="E70" s="47">
        <v>0</v>
      </c>
      <c r="F70" s="48">
        <v>31</v>
      </c>
      <c r="G70" s="48">
        <f>Sim[[#This Row],[Avg daily demand]]*Sim[[#This Row],[Seed days]]</f>
        <v>0</v>
      </c>
      <c r="H70" s="49">
        <f>Sim[[#This Row],[Seed on-hand]]-Sim[[#This Row],[Sept units]]</f>
        <v>0</v>
      </c>
      <c r="I70" s="44">
        <f>Sim[[#This Row],[Sept units]]/30</f>
        <v>0</v>
      </c>
      <c r="J7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0" s="47">
        <f>IFERROR(Sim[[#This Row],[Ending on-hand]]/Sim[[#This Row],[Sept daily rate]],0)</f>
        <v>0</v>
      </c>
      <c r="L70" s="50" t="str">
        <f>_xlfn.XLOOKUP(Sim[[#This Row],[Product ID]],Table3[Product ID],Table3[Rev class],,0)</f>
        <v>B</v>
      </c>
      <c r="M70" s="47">
        <v>3.007042253521127</v>
      </c>
      <c r="N70" s="43">
        <v>15.989999770000001</v>
      </c>
      <c r="O70" s="47">
        <f>IFERROR(_xlfn.STDEV.S(_xlfn.XLOOKUP(Sim[[#This Row],[Product ID]],Demand!$A$2:$A$101,Demand!$AD$2:$AG$101)),0)</f>
        <v>0</v>
      </c>
      <c r="P70" s="47">
        <f>Sim[[#This Row],[SigmaMonthly]]/SQRT(30)</f>
        <v>0</v>
      </c>
      <c r="Q70" s="44">
        <f>_xlfn.NORM.S.INV(_xlfn.XLOOKUP(Sim[[#This Row],[Class]],ServiceTbl[Class],ServiceTbl[Level]))</f>
        <v>1.6448536269514715</v>
      </c>
      <c r="R70" s="48">
        <f>ROUNDUP(Sim[[#This Row],[Z]]*Sim[[#This Row],[SigmaDaily]]*SQRT(Sim[[#This Row],[LT]]),0)</f>
        <v>0</v>
      </c>
      <c r="S70" s="48">
        <f>ROUNDUP(Sim[[#This Row],[Avg daily demand]]*Sim[[#This Row],[LT]]+Sim[[#This Row],[SS]],0)</f>
        <v>0</v>
      </c>
      <c r="T7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0" s="47"/>
    </row>
    <row r="71" spans="1:22" x14ac:dyDescent="0.2">
      <c r="A71" s="46">
        <v>771</v>
      </c>
      <c r="B71" s="40" t="s">
        <v>81</v>
      </c>
      <c r="C71" s="56">
        <v>0</v>
      </c>
      <c r="D71" s="56">
        <v>0</v>
      </c>
      <c r="E71" s="47">
        <v>0</v>
      </c>
      <c r="F71" s="48">
        <v>141</v>
      </c>
      <c r="G71" s="48">
        <f>Sim[[#This Row],[Avg daily demand]]*Sim[[#This Row],[Seed days]]</f>
        <v>0</v>
      </c>
      <c r="H71" s="49">
        <f>Sim[[#This Row],[Seed on-hand]]-Sim[[#This Row],[Sept units]]</f>
        <v>0</v>
      </c>
      <c r="I71" s="44">
        <f>Sim[[#This Row],[Sept units]]/30</f>
        <v>0</v>
      </c>
      <c r="J7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1" s="47">
        <f>IFERROR(Sim[[#This Row],[Ending on-hand]]/Sim[[#This Row],[Sept daily rate]],0)</f>
        <v>0</v>
      </c>
      <c r="L71" s="50" t="str">
        <f>_xlfn.XLOOKUP(Sim[[#This Row],[Product ID]],Table3[Product ID],Table3[Rev class],,0)</f>
        <v>B</v>
      </c>
      <c r="M71" s="47">
        <v>2.8218181818181818</v>
      </c>
      <c r="N71" s="43">
        <v>39.990001679999999</v>
      </c>
      <c r="O71" s="47">
        <f>IFERROR(_xlfn.STDEV.S(_xlfn.XLOOKUP(Sim[[#This Row],[Product ID]],Demand!$A$2:$A$101,Demand!$AD$2:$AG$101)),0)</f>
        <v>0</v>
      </c>
      <c r="P71" s="47">
        <f>Sim[[#This Row],[SigmaMonthly]]/SQRT(30)</f>
        <v>0</v>
      </c>
      <c r="Q71" s="44">
        <f>_xlfn.NORM.S.INV(_xlfn.XLOOKUP(Sim[[#This Row],[Class]],ServiceTbl[Class],ServiceTbl[Level]))</f>
        <v>1.6448536269514715</v>
      </c>
      <c r="R71" s="48">
        <f>ROUNDUP(Sim[[#This Row],[Z]]*Sim[[#This Row],[SigmaDaily]]*SQRT(Sim[[#This Row],[LT]]),0)</f>
        <v>0</v>
      </c>
      <c r="S71" s="48">
        <f>ROUNDUP(Sim[[#This Row],[Avg daily demand]]*Sim[[#This Row],[LT]]+Sim[[#This Row],[SS]],0)</f>
        <v>0</v>
      </c>
      <c r="T7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1" s="47"/>
    </row>
    <row r="72" spans="1:22" x14ac:dyDescent="0.2">
      <c r="A72" s="46">
        <v>886</v>
      </c>
      <c r="B72" s="40" t="s">
        <v>22</v>
      </c>
      <c r="C72" s="56">
        <v>0</v>
      </c>
      <c r="D72" s="56">
        <v>0</v>
      </c>
      <c r="E72" s="47">
        <v>0</v>
      </c>
      <c r="F72" s="48">
        <v>75</v>
      </c>
      <c r="G72" s="48">
        <f>Sim[[#This Row],[Avg daily demand]]*Sim[[#This Row],[Seed days]]</f>
        <v>0</v>
      </c>
      <c r="H72" s="49">
        <f>Sim[[#This Row],[Seed on-hand]]-Sim[[#This Row],[Sept units]]</f>
        <v>0</v>
      </c>
      <c r="I72" s="44">
        <f>Sim[[#This Row],[Sept units]]/30</f>
        <v>0</v>
      </c>
      <c r="J7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2" s="47">
        <f>IFERROR(Sim[[#This Row],[Ending on-hand]]/Sim[[#This Row],[Sept daily rate]],0)</f>
        <v>0</v>
      </c>
      <c r="L72" s="50" t="str">
        <f>_xlfn.XLOOKUP(Sim[[#This Row],[Product ID]],Table3[Product ID],Table3[Rev class],,0)</f>
        <v>B</v>
      </c>
      <c r="M72" s="47">
        <v>2.9202898550724639</v>
      </c>
      <c r="N72" s="43">
        <v>24.989999770000001</v>
      </c>
      <c r="O72" s="47">
        <f>IFERROR(_xlfn.STDEV.S(_xlfn.XLOOKUP(Sim[[#This Row],[Product ID]],Demand!$A$2:$A$101,Demand!$AD$2:$AG$101)),0)</f>
        <v>0</v>
      </c>
      <c r="P72" s="47">
        <f>Sim[[#This Row],[SigmaMonthly]]/SQRT(30)</f>
        <v>0</v>
      </c>
      <c r="Q72" s="44">
        <f>_xlfn.NORM.S.INV(_xlfn.XLOOKUP(Sim[[#This Row],[Class]],ServiceTbl[Class],ServiceTbl[Level]))</f>
        <v>1.6448536269514715</v>
      </c>
      <c r="R72" s="48">
        <f>ROUNDUP(Sim[[#This Row],[Z]]*Sim[[#This Row],[SigmaDaily]]*SQRT(Sim[[#This Row],[LT]]),0)</f>
        <v>0</v>
      </c>
      <c r="S72" s="48">
        <f>ROUNDUP(Sim[[#This Row],[Avg daily demand]]*Sim[[#This Row],[LT]]+Sim[[#This Row],[SS]],0)</f>
        <v>0</v>
      </c>
      <c r="T7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2" s="47"/>
    </row>
    <row r="73" spans="1:22" x14ac:dyDescent="0.2">
      <c r="A73" s="46">
        <v>792</v>
      </c>
      <c r="B73" s="40" t="s">
        <v>75</v>
      </c>
      <c r="C73" s="56">
        <v>0</v>
      </c>
      <c r="D73" s="56">
        <v>0</v>
      </c>
      <c r="E73" s="47">
        <v>0</v>
      </c>
      <c r="F73" s="48">
        <v>86</v>
      </c>
      <c r="G73" s="48">
        <f>Sim[[#This Row],[Avg daily demand]]*Sim[[#This Row],[Seed days]]</f>
        <v>0</v>
      </c>
      <c r="H73" s="49">
        <f>Sim[[#This Row],[Seed on-hand]]-Sim[[#This Row],[Sept units]]</f>
        <v>0</v>
      </c>
      <c r="I73" s="44">
        <f>Sim[[#This Row],[Sept units]]/30</f>
        <v>0</v>
      </c>
      <c r="J7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3" s="47">
        <f>IFERROR(Sim[[#This Row],[Ending on-hand]]/Sim[[#This Row],[Sept daily rate]],0)</f>
        <v>0</v>
      </c>
      <c r="L73" s="50" t="str">
        <f>_xlfn.XLOOKUP(Sim[[#This Row],[Product ID]],Table3[Product ID],Table3[Rev class],,0)</f>
        <v>C</v>
      </c>
      <c r="M73" s="47">
        <v>2.8560885608856088</v>
      </c>
      <c r="N73" s="43">
        <v>14.989999770000001</v>
      </c>
      <c r="O73" s="47">
        <f>IFERROR(_xlfn.STDEV.S(_xlfn.XLOOKUP(Sim[[#This Row],[Product ID]],Demand!$A$2:$A$101,Demand!$AD$2:$AG$101)),0)</f>
        <v>0</v>
      </c>
      <c r="P73" s="47">
        <f>Sim[[#This Row],[SigmaMonthly]]/SQRT(30)</f>
        <v>0</v>
      </c>
      <c r="Q73" s="44">
        <f>_xlfn.NORM.S.INV(_xlfn.XLOOKUP(Sim[[#This Row],[Class]],ServiceTbl[Class],ServiceTbl[Level]))</f>
        <v>1.2815515655446006</v>
      </c>
      <c r="R73" s="48">
        <f>ROUNDUP(Sim[[#This Row],[Z]]*Sim[[#This Row],[SigmaDaily]]*SQRT(Sim[[#This Row],[LT]]),0)</f>
        <v>0</v>
      </c>
      <c r="S73" s="48">
        <f>ROUNDUP(Sim[[#This Row],[Avg daily demand]]*Sim[[#This Row],[LT]]+Sim[[#This Row],[SS]],0)</f>
        <v>0</v>
      </c>
      <c r="T7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3" s="47"/>
    </row>
    <row r="74" spans="1:22" x14ac:dyDescent="0.2">
      <c r="A74" s="46">
        <v>821</v>
      </c>
      <c r="B74" s="40" t="s">
        <v>54</v>
      </c>
      <c r="C74" s="56">
        <v>0</v>
      </c>
      <c r="D74" s="56">
        <v>0</v>
      </c>
      <c r="E74" s="47">
        <v>0</v>
      </c>
      <c r="F74" s="48">
        <v>126</v>
      </c>
      <c r="G74" s="48">
        <f>Sim[[#This Row],[Avg daily demand]]*Sim[[#This Row],[Seed days]]</f>
        <v>0</v>
      </c>
      <c r="H74" s="49">
        <f>Sim[[#This Row],[Seed on-hand]]-Sim[[#This Row],[Sept units]]</f>
        <v>0</v>
      </c>
      <c r="I74" s="44">
        <f>Sim[[#This Row],[Sept units]]/30</f>
        <v>0</v>
      </c>
      <c r="J7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4" s="47">
        <f>IFERROR(Sim[[#This Row],[Ending on-hand]]/Sim[[#This Row],[Sept daily rate]],0)</f>
        <v>0</v>
      </c>
      <c r="L74" s="50" t="str">
        <f>_xlfn.XLOOKUP(Sim[[#This Row],[Product ID]],Table3[Product ID],Table3[Rev class],,0)</f>
        <v>B</v>
      </c>
      <c r="M74" s="47">
        <v>2.8754448398576513</v>
      </c>
      <c r="N74" s="43">
        <v>51.990001679999999</v>
      </c>
      <c r="O74" s="47">
        <f>IFERROR(_xlfn.STDEV.S(_xlfn.XLOOKUP(Sim[[#This Row],[Product ID]],Demand!$A$2:$A$101,Demand!$AD$2:$AG$101)),0)</f>
        <v>0</v>
      </c>
      <c r="P74" s="47">
        <f>Sim[[#This Row],[SigmaMonthly]]/SQRT(30)</f>
        <v>0</v>
      </c>
      <c r="Q74" s="44">
        <f>_xlfn.NORM.S.INV(_xlfn.XLOOKUP(Sim[[#This Row],[Class]],ServiceTbl[Class],ServiceTbl[Level]))</f>
        <v>1.6448536269514715</v>
      </c>
      <c r="R74" s="48">
        <f>ROUNDUP(Sim[[#This Row],[Z]]*Sim[[#This Row],[SigmaDaily]]*SQRT(Sim[[#This Row],[LT]]),0)</f>
        <v>0</v>
      </c>
      <c r="S74" s="48">
        <f>ROUNDUP(Sim[[#This Row],[Avg daily demand]]*Sim[[#This Row],[LT]]+Sim[[#This Row],[SS]],0)</f>
        <v>0</v>
      </c>
      <c r="T7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4" s="47"/>
    </row>
    <row r="75" spans="1:22" x14ac:dyDescent="0.2">
      <c r="A75" s="46">
        <v>567</v>
      </c>
      <c r="B75" s="40" t="s">
        <v>31</v>
      </c>
      <c r="C75" s="56">
        <v>0</v>
      </c>
      <c r="D75" s="56">
        <v>0</v>
      </c>
      <c r="E75" s="47">
        <v>0</v>
      </c>
      <c r="F75" s="48">
        <v>46</v>
      </c>
      <c r="G75" s="48">
        <f>Sim[[#This Row],[Avg daily demand]]*Sim[[#This Row],[Seed days]]</f>
        <v>0</v>
      </c>
      <c r="H75" s="49">
        <f>Sim[[#This Row],[Seed on-hand]]-Sim[[#This Row],[Sept units]]</f>
        <v>0</v>
      </c>
      <c r="I75" s="44">
        <f>Sim[[#This Row],[Sept units]]/30</f>
        <v>0</v>
      </c>
      <c r="J7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5" s="47">
        <f>IFERROR(Sim[[#This Row],[Ending on-hand]]/Sim[[#This Row],[Sept daily rate]],0)</f>
        <v>0</v>
      </c>
      <c r="L75" s="50" t="str">
        <f>_xlfn.XLOOKUP(Sim[[#This Row],[Product ID]],Table3[Product ID],Table3[Rev class],,0)</f>
        <v>B</v>
      </c>
      <c r="M75" s="47">
        <v>2.9197080291970803</v>
      </c>
      <c r="N75" s="43">
        <v>25</v>
      </c>
      <c r="O75" s="47">
        <f>IFERROR(_xlfn.STDEV.S(_xlfn.XLOOKUP(Sim[[#This Row],[Product ID]],Demand!$A$2:$A$101,Demand!$AD$2:$AG$101)),0)</f>
        <v>0</v>
      </c>
      <c r="P75" s="47">
        <f>Sim[[#This Row],[SigmaMonthly]]/SQRT(30)</f>
        <v>0</v>
      </c>
      <c r="Q75" s="44">
        <f>_xlfn.NORM.S.INV(_xlfn.XLOOKUP(Sim[[#This Row],[Class]],ServiceTbl[Class],ServiceTbl[Level]))</f>
        <v>1.6448536269514715</v>
      </c>
      <c r="R75" s="48">
        <f>ROUNDUP(Sim[[#This Row],[Z]]*Sim[[#This Row],[SigmaDaily]]*SQRT(Sim[[#This Row],[LT]]),0)</f>
        <v>0</v>
      </c>
      <c r="S75" s="48">
        <f>ROUNDUP(Sim[[#This Row],[Avg daily demand]]*Sim[[#This Row],[LT]]+Sim[[#This Row],[SS]],0)</f>
        <v>0</v>
      </c>
      <c r="T7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5" s="47"/>
    </row>
    <row r="76" spans="1:22" x14ac:dyDescent="0.2">
      <c r="A76" s="46">
        <v>235</v>
      </c>
      <c r="B76" s="40" t="s">
        <v>26</v>
      </c>
      <c r="C76" s="56">
        <v>0</v>
      </c>
      <c r="D76" s="56">
        <v>0</v>
      </c>
      <c r="E76" s="47">
        <v>0</v>
      </c>
      <c r="F76" s="48">
        <v>107</v>
      </c>
      <c r="G76" s="48">
        <f>Sim[[#This Row],[Avg daily demand]]*Sim[[#This Row],[Seed days]]</f>
        <v>0</v>
      </c>
      <c r="H76" s="49">
        <f>Sim[[#This Row],[Seed on-hand]]-Sim[[#This Row],[Sept units]]</f>
        <v>0</v>
      </c>
      <c r="I76" s="44">
        <f>Sim[[#This Row],[Sept units]]/30</f>
        <v>0</v>
      </c>
      <c r="J7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6" s="47">
        <f>IFERROR(Sim[[#This Row],[Ending on-hand]]/Sim[[#This Row],[Sept daily rate]],0)</f>
        <v>0</v>
      </c>
      <c r="L76" s="50" t="str">
        <f>_xlfn.XLOOKUP(Sim[[#This Row],[Product ID]],Table3[Product ID],Table3[Rev class],,0)</f>
        <v>B</v>
      </c>
      <c r="M76" s="47">
        <v>2.9685314685314683</v>
      </c>
      <c r="N76" s="43">
        <v>34.990001679999999</v>
      </c>
      <c r="O76" s="47">
        <f>IFERROR(_xlfn.STDEV.S(_xlfn.XLOOKUP(Sim[[#This Row],[Product ID]],Demand!$A$2:$A$101,Demand!$AD$2:$AG$101)),0)</f>
        <v>0</v>
      </c>
      <c r="P76" s="47">
        <f>Sim[[#This Row],[SigmaMonthly]]/SQRT(30)</f>
        <v>0</v>
      </c>
      <c r="Q76" s="44">
        <f>_xlfn.NORM.S.INV(_xlfn.XLOOKUP(Sim[[#This Row],[Class]],ServiceTbl[Class],ServiceTbl[Level]))</f>
        <v>1.6448536269514715</v>
      </c>
      <c r="R76" s="48">
        <f>ROUNDUP(Sim[[#This Row],[Z]]*Sim[[#This Row],[SigmaDaily]]*SQRT(Sim[[#This Row],[LT]]),0)</f>
        <v>0</v>
      </c>
      <c r="S76" s="48">
        <f>ROUNDUP(Sim[[#This Row],[Avg daily demand]]*Sim[[#This Row],[LT]]+Sim[[#This Row],[SS]],0)</f>
        <v>0</v>
      </c>
      <c r="T7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6" s="47"/>
    </row>
    <row r="77" spans="1:22" x14ac:dyDescent="0.2">
      <c r="A77" s="46">
        <v>282</v>
      </c>
      <c r="B77" s="40" t="s">
        <v>28</v>
      </c>
      <c r="C77" s="56">
        <v>0</v>
      </c>
      <c r="D77" s="56">
        <v>0</v>
      </c>
      <c r="E77" s="47">
        <v>0</v>
      </c>
      <c r="F77" s="48">
        <v>68</v>
      </c>
      <c r="G77" s="48">
        <f>Sim[[#This Row],[Avg daily demand]]*Sim[[#This Row],[Seed days]]</f>
        <v>0</v>
      </c>
      <c r="H77" s="49">
        <f>Sim[[#This Row],[Seed on-hand]]-Sim[[#This Row],[Sept units]]</f>
        <v>0</v>
      </c>
      <c r="I77" s="44">
        <f>Sim[[#This Row],[Sept units]]/30</f>
        <v>0</v>
      </c>
      <c r="J7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7" s="47">
        <f>IFERROR(Sim[[#This Row],[Ending on-hand]]/Sim[[#This Row],[Sept daily rate]],0)</f>
        <v>0</v>
      </c>
      <c r="L77" s="50" t="str">
        <f>_xlfn.XLOOKUP(Sim[[#This Row],[Product ID]],Table3[Product ID],Table3[Rev class],,0)</f>
        <v>B</v>
      </c>
      <c r="M77" s="47">
        <v>2.7106227106227108</v>
      </c>
      <c r="N77" s="43">
        <v>31.989999770000001</v>
      </c>
      <c r="O77" s="47">
        <f>IFERROR(_xlfn.STDEV.S(_xlfn.XLOOKUP(Sim[[#This Row],[Product ID]],Demand!$A$2:$A$101,Demand!$AD$2:$AG$101)),0)</f>
        <v>0</v>
      </c>
      <c r="P77" s="47">
        <f>Sim[[#This Row],[SigmaMonthly]]/SQRT(30)</f>
        <v>0</v>
      </c>
      <c r="Q77" s="44">
        <f>_xlfn.NORM.S.INV(_xlfn.XLOOKUP(Sim[[#This Row],[Class]],ServiceTbl[Class],ServiceTbl[Level]))</f>
        <v>1.6448536269514715</v>
      </c>
      <c r="R77" s="48">
        <f>ROUNDUP(Sim[[#This Row],[Z]]*Sim[[#This Row],[SigmaDaily]]*SQRT(Sim[[#This Row],[LT]]),0)</f>
        <v>0</v>
      </c>
      <c r="S77" s="48">
        <f>ROUNDUP(Sim[[#This Row],[Avg daily demand]]*Sim[[#This Row],[LT]]+Sim[[#This Row],[SS]],0)</f>
        <v>0</v>
      </c>
      <c r="T7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7" s="47"/>
    </row>
    <row r="78" spans="1:22" x14ac:dyDescent="0.2">
      <c r="A78" s="46">
        <v>778</v>
      </c>
      <c r="B78" s="40" t="s">
        <v>77</v>
      </c>
      <c r="C78" s="56">
        <v>0</v>
      </c>
      <c r="D78" s="56">
        <v>0</v>
      </c>
      <c r="E78" s="47">
        <v>0</v>
      </c>
      <c r="F78" s="48">
        <v>86</v>
      </c>
      <c r="G78" s="48">
        <f>Sim[[#This Row],[Avg daily demand]]*Sim[[#This Row],[Seed days]]</f>
        <v>0</v>
      </c>
      <c r="H78" s="49">
        <f>Sim[[#This Row],[Seed on-hand]]-Sim[[#This Row],[Sept units]]</f>
        <v>0</v>
      </c>
      <c r="I78" s="44">
        <f>Sim[[#This Row],[Sept units]]/30</f>
        <v>0</v>
      </c>
      <c r="J7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8" s="47">
        <f>IFERROR(Sim[[#This Row],[Ending on-hand]]/Sim[[#This Row],[Sept daily rate]],0)</f>
        <v>0</v>
      </c>
      <c r="L78" s="50" t="str">
        <f>_xlfn.XLOOKUP(Sim[[#This Row],[Product ID]],Table3[Product ID],Table3[Rev class],,0)</f>
        <v>B</v>
      </c>
      <c r="M78" s="47">
        <v>3.0223880597014925</v>
      </c>
      <c r="N78" s="43">
        <v>24.989999770000001</v>
      </c>
      <c r="O78" s="47">
        <f>IFERROR(_xlfn.STDEV.S(_xlfn.XLOOKUP(Sim[[#This Row],[Product ID]],Demand!$A$2:$A$101,Demand!$AD$2:$AG$101)),0)</f>
        <v>0</v>
      </c>
      <c r="P78" s="47">
        <f>Sim[[#This Row],[SigmaMonthly]]/SQRT(30)</f>
        <v>0</v>
      </c>
      <c r="Q78" s="44">
        <f>_xlfn.NORM.S.INV(_xlfn.XLOOKUP(Sim[[#This Row],[Class]],ServiceTbl[Class],ServiceTbl[Level]))</f>
        <v>1.6448536269514715</v>
      </c>
      <c r="R78" s="48">
        <f>ROUNDUP(Sim[[#This Row],[Z]]*Sim[[#This Row],[SigmaDaily]]*SQRT(Sim[[#This Row],[LT]]),0)</f>
        <v>0</v>
      </c>
      <c r="S78" s="48">
        <f>ROUNDUP(Sim[[#This Row],[Avg daily demand]]*Sim[[#This Row],[LT]]+Sim[[#This Row],[SS]],0)</f>
        <v>0</v>
      </c>
      <c r="T7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8" s="47"/>
    </row>
    <row r="79" spans="1:22" x14ac:dyDescent="0.2">
      <c r="A79" s="46">
        <v>249</v>
      </c>
      <c r="B79" s="40" t="s">
        <v>5</v>
      </c>
      <c r="C79" s="56">
        <v>0</v>
      </c>
      <c r="D79" s="56">
        <v>0</v>
      </c>
      <c r="E79" s="47">
        <v>0</v>
      </c>
      <c r="F79" s="48">
        <v>25</v>
      </c>
      <c r="G79" s="48">
        <f>Sim[[#This Row],[Avg daily demand]]*Sim[[#This Row],[Seed days]]</f>
        <v>0</v>
      </c>
      <c r="H79" s="49">
        <f>Sim[[#This Row],[Seed on-hand]]-Sim[[#This Row],[Sept units]]</f>
        <v>0</v>
      </c>
      <c r="I79" s="44">
        <f>Sim[[#This Row],[Sept units]]/30</f>
        <v>0</v>
      </c>
      <c r="J7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79" s="47">
        <f>IFERROR(Sim[[#This Row],[Ending on-hand]]/Sim[[#This Row],[Sept daily rate]],0)</f>
        <v>0</v>
      </c>
      <c r="L79" s="50" t="str">
        <f>_xlfn.XLOOKUP(Sim[[#This Row],[Product ID]],Table3[Product ID],Table3[Rev class],,0)</f>
        <v>B</v>
      </c>
      <c r="M79" s="47">
        <v>2.7830882352941178</v>
      </c>
      <c r="N79" s="43">
        <v>54.97000122</v>
      </c>
      <c r="O79" s="47">
        <f>IFERROR(_xlfn.STDEV.S(_xlfn.XLOOKUP(Sim[[#This Row],[Product ID]],Demand!$A$2:$A$101,Demand!$AD$2:$AG$101)),0)</f>
        <v>0</v>
      </c>
      <c r="P79" s="47">
        <f>Sim[[#This Row],[SigmaMonthly]]/SQRT(30)</f>
        <v>0</v>
      </c>
      <c r="Q79" s="44">
        <f>_xlfn.NORM.S.INV(_xlfn.XLOOKUP(Sim[[#This Row],[Class]],ServiceTbl[Class],ServiceTbl[Level]))</f>
        <v>1.6448536269514715</v>
      </c>
      <c r="R79" s="48">
        <f>ROUNDUP(Sim[[#This Row],[Z]]*Sim[[#This Row],[SigmaDaily]]*SQRT(Sim[[#This Row],[LT]]),0)</f>
        <v>0</v>
      </c>
      <c r="S79" s="48">
        <f>ROUNDUP(Sim[[#This Row],[Avg daily demand]]*Sim[[#This Row],[LT]]+Sim[[#This Row],[SS]],0)</f>
        <v>0</v>
      </c>
      <c r="T7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7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79" s="47"/>
    </row>
    <row r="80" spans="1:22" x14ac:dyDescent="0.2">
      <c r="A80" s="46">
        <v>93</v>
      </c>
      <c r="B80" s="40" t="s">
        <v>46</v>
      </c>
      <c r="C80" s="56">
        <v>0</v>
      </c>
      <c r="D80" s="56">
        <v>0</v>
      </c>
      <c r="E80" s="47">
        <v>0</v>
      </c>
      <c r="F80" s="48">
        <v>83</v>
      </c>
      <c r="G80" s="48">
        <f>Sim[[#This Row],[Avg daily demand]]*Sim[[#This Row],[Seed days]]</f>
        <v>0</v>
      </c>
      <c r="H80" s="49">
        <f>Sim[[#This Row],[Seed on-hand]]-Sim[[#This Row],[Sept units]]</f>
        <v>0</v>
      </c>
      <c r="I80" s="44">
        <f>Sim[[#This Row],[Sept units]]/30</f>
        <v>0</v>
      </c>
      <c r="J8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0" s="47">
        <f>IFERROR(Sim[[#This Row],[Ending on-hand]]/Sim[[#This Row],[Sept daily rate]],0)</f>
        <v>0</v>
      </c>
      <c r="L80" s="50" t="str">
        <f>_xlfn.XLOOKUP(Sim[[#This Row],[Product ID]],Table3[Product ID],Table3[Rev class],,0)</f>
        <v>B</v>
      </c>
      <c r="M80" s="47">
        <v>2.9138576779026217</v>
      </c>
      <c r="N80" s="43">
        <v>24.989999770000001</v>
      </c>
      <c r="O80" s="47">
        <f>IFERROR(_xlfn.STDEV.S(_xlfn.XLOOKUP(Sim[[#This Row],[Product ID]],Demand!$A$2:$A$101,Demand!$AD$2:$AG$101)),0)</f>
        <v>0</v>
      </c>
      <c r="P80" s="47">
        <f>Sim[[#This Row],[SigmaMonthly]]/SQRT(30)</f>
        <v>0</v>
      </c>
      <c r="Q80" s="44">
        <f>_xlfn.NORM.S.INV(_xlfn.XLOOKUP(Sim[[#This Row],[Class]],ServiceTbl[Class],ServiceTbl[Level]))</f>
        <v>1.6448536269514715</v>
      </c>
      <c r="R80" s="48">
        <f>ROUNDUP(Sim[[#This Row],[Z]]*Sim[[#This Row],[SigmaDaily]]*SQRT(Sim[[#This Row],[LT]]),0)</f>
        <v>0</v>
      </c>
      <c r="S80" s="48">
        <f>ROUNDUP(Sim[[#This Row],[Avg daily demand]]*Sim[[#This Row],[LT]]+Sim[[#This Row],[SS]],0)</f>
        <v>0</v>
      </c>
      <c r="T8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0" s="47"/>
    </row>
    <row r="81" spans="1:22" x14ac:dyDescent="0.2">
      <c r="A81" s="46">
        <v>897</v>
      </c>
      <c r="B81" s="40" t="s">
        <v>42</v>
      </c>
      <c r="C81" s="56">
        <v>0</v>
      </c>
      <c r="D81" s="56">
        <v>0</v>
      </c>
      <c r="E81" s="47">
        <v>0</v>
      </c>
      <c r="F81" s="48">
        <v>143</v>
      </c>
      <c r="G81" s="48">
        <f>Sim[[#This Row],[Avg daily demand]]*Sim[[#This Row],[Seed days]]</f>
        <v>0</v>
      </c>
      <c r="H81" s="49">
        <f>Sim[[#This Row],[Seed on-hand]]-Sim[[#This Row],[Sept units]]</f>
        <v>0</v>
      </c>
      <c r="I81" s="44">
        <f>Sim[[#This Row],[Sept units]]/30</f>
        <v>0</v>
      </c>
      <c r="J8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1" s="47">
        <f>IFERROR(Sim[[#This Row],[Ending on-hand]]/Sim[[#This Row],[Sept daily rate]],0)</f>
        <v>0</v>
      </c>
      <c r="L81" s="50" t="str">
        <f>_xlfn.XLOOKUP(Sim[[#This Row],[Product ID]],Table3[Product ID],Table3[Rev class],,0)</f>
        <v>B</v>
      </c>
      <c r="M81" s="47">
        <v>2.9442379182156135</v>
      </c>
      <c r="N81" s="43">
        <v>24.989999770000001</v>
      </c>
      <c r="O81" s="47">
        <f>IFERROR(_xlfn.STDEV.S(_xlfn.XLOOKUP(Sim[[#This Row],[Product ID]],Demand!$A$2:$A$101,Demand!$AD$2:$AG$101)),0)</f>
        <v>0</v>
      </c>
      <c r="P81" s="47">
        <f>Sim[[#This Row],[SigmaMonthly]]/SQRT(30)</f>
        <v>0</v>
      </c>
      <c r="Q81" s="44">
        <f>_xlfn.NORM.S.INV(_xlfn.XLOOKUP(Sim[[#This Row],[Class]],ServiceTbl[Class],ServiceTbl[Level]))</f>
        <v>1.6448536269514715</v>
      </c>
      <c r="R81" s="48">
        <f>ROUNDUP(Sim[[#This Row],[Z]]*Sim[[#This Row],[SigmaDaily]]*SQRT(Sim[[#This Row],[LT]]),0)</f>
        <v>0</v>
      </c>
      <c r="S81" s="48">
        <f>ROUNDUP(Sim[[#This Row],[Avg daily demand]]*Sim[[#This Row],[LT]]+Sim[[#This Row],[SS]],0)</f>
        <v>0</v>
      </c>
      <c r="T8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1" s="47"/>
    </row>
    <row r="82" spans="1:22" x14ac:dyDescent="0.2">
      <c r="A82" s="46">
        <v>822</v>
      </c>
      <c r="B82" s="40" t="s">
        <v>35</v>
      </c>
      <c r="C82" s="56">
        <v>0</v>
      </c>
      <c r="D82" s="56">
        <v>0</v>
      </c>
      <c r="E82" s="47">
        <v>0</v>
      </c>
      <c r="F82" s="48">
        <v>28</v>
      </c>
      <c r="G82" s="48">
        <f>Sim[[#This Row],[Avg daily demand]]*Sim[[#This Row],[Seed days]]</f>
        <v>0</v>
      </c>
      <c r="H82" s="49">
        <f>Sim[[#This Row],[Seed on-hand]]-Sim[[#This Row],[Sept units]]</f>
        <v>0</v>
      </c>
      <c r="I82" s="44">
        <f>Sim[[#This Row],[Sept units]]/30</f>
        <v>0</v>
      </c>
      <c r="J8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2" s="47">
        <f>IFERROR(Sim[[#This Row],[Ending on-hand]]/Sim[[#This Row],[Sept daily rate]],0)</f>
        <v>0</v>
      </c>
      <c r="L82" s="50" t="str">
        <f>_xlfn.XLOOKUP(Sim[[#This Row],[Product ID]],Table3[Product ID],Table3[Rev class],,0)</f>
        <v>B</v>
      </c>
      <c r="M82" s="47">
        <v>3.1011673151750974</v>
      </c>
      <c r="N82" s="43">
        <v>47.990001679999999</v>
      </c>
      <c r="O82" s="47">
        <f>IFERROR(_xlfn.STDEV.S(_xlfn.XLOOKUP(Sim[[#This Row],[Product ID]],Demand!$A$2:$A$101,Demand!$AD$2:$AG$101)),0)</f>
        <v>0</v>
      </c>
      <c r="P82" s="47">
        <f>Sim[[#This Row],[SigmaMonthly]]/SQRT(30)</f>
        <v>0</v>
      </c>
      <c r="Q82" s="44">
        <f>_xlfn.NORM.S.INV(_xlfn.XLOOKUP(Sim[[#This Row],[Class]],ServiceTbl[Class],ServiceTbl[Level]))</f>
        <v>1.6448536269514715</v>
      </c>
      <c r="R82" s="48">
        <f>ROUNDUP(Sim[[#This Row],[Z]]*Sim[[#This Row],[SigmaDaily]]*SQRT(Sim[[#This Row],[LT]]),0)</f>
        <v>0</v>
      </c>
      <c r="S82" s="48">
        <f>ROUNDUP(Sim[[#This Row],[Avg daily demand]]*Sim[[#This Row],[LT]]+Sim[[#This Row],[SS]],0)</f>
        <v>0</v>
      </c>
      <c r="T8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2" s="47"/>
    </row>
    <row r="83" spans="1:22" x14ac:dyDescent="0.2">
      <c r="A83" s="46">
        <v>278</v>
      </c>
      <c r="B83" s="40" t="s">
        <v>4</v>
      </c>
      <c r="C83" s="56">
        <v>0</v>
      </c>
      <c r="D83" s="56">
        <v>0</v>
      </c>
      <c r="E83" s="47">
        <v>0</v>
      </c>
      <c r="F83" s="48">
        <v>75</v>
      </c>
      <c r="G83" s="48">
        <f>Sim[[#This Row],[Avg daily demand]]*Sim[[#This Row],[Seed days]]</f>
        <v>0</v>
      </c>
      <c r="H83" s="49">
        <f>Sim[[#This Row],[Seed on-hand]]-Sim[[#This Row],[Sept units]]</f>
        <v>0</v>
      </c>
      <c r="I83" s="44">
        <f>Sim[[#This Row],[Sept units]]/30</f>
        <v>0</v>
      </c>
      <c r="J8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3" s="47">
        <f>IFERROR(Sim[[#This Row],[Ending on-hand]]/Sim[[#This Row],[Sept daily rate]],0)</f>
        <v>0</v>
      </c>
      <c r="L83" s="50" t="str">
        <f>_xlfn.XLOOKUP(Sim[[#This Row],[Product ID]],Table3[Product ID],Table3[Rev class],,0)</f>
        <v>B</v>
      </c>
      <c r="M83" s="47">
        <v>2.8068181818181817</v>
      </c>
      <c r="N83" s="43">
        <v>44.990001679999999</v>
      </c>
      <c r="O83" s="47">
        <f>IFERROR(_xlfn.STDEV.S(_xlfn.XLOOKUP(Sim[[#This Row],[Product ID]],Demand!$A$2:$A$101,Demand!$AD$2:$AG$101)),0)</f>
        <v>0</v>
      </c>
      <c r="P83" s="47">
        <f>Sim[[#This Row],[SigmaMonthly]]/SQRT(30)</f>
        <v>0</v>
      </c>
      <c r="Q83" s="44">
        <f>_xlfn.NORM.S.INV(_xlfn.XLOOKUP(Sim[[#This Row],[Class]],ServiceTbl[Class],ServiceTbl[Level]))</f>
        <v>1.6448536269514715</v>
      </c>
      <c r="R83" s="48">
        <f>ROUNDUP(Sim[[#This Row],[Z]]*Sim[[#This Row],[SigmaDaily]]*SQRT(Sim[[#This Row],[LT]]),0)</f>
        <v>0</v>
      </c>
      <c r="S83" s="48">
        <f>ROUNDUP(Sim[[#This Row],[Avg daily demand]]*Sim[[#This Row],[LT]]+Sim[[#This Row],[SS]],0)</f>
        <v>0</v>
      </c>
      <c r="T8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3" s="47"/>
    </row>
    <row r="84" spans="1:22" x14ac:dyDescent="0.2">
      <c r="A84" s="46">
        <v>134</v>
      </c>
      <c r="B84" s="40" t="s">
        <v>59</v>
      </c>
      <c r="C84" s="56">
        <v>0</v>
      </c>
      <c r="D84" s="56">
        <v>0</v>
      </c>
      <c r="E84" s="47">
        <v>0</v>
      </c>
      <c r="F84" s="48">
        <v>59</v>
      </c>
      <c r="G84" s="48">
        <f>Sim[[#This Row],[Avg daily demand]]*Sim[[#This Row],[Seed days]]</f>
        <v>0</v>
      </c>
      <c r="H84" s="49">
        <f>Sim[[#This Row],[Seed on-hand]]-Sim[[#This Row],[Sept units]]</f>
        <v>0</v>
      </c>
      <c r="I84" s="44">
        <f>Sim[[#This Row],[Sept units]]/30</f>
        <v>0</v>
      </c>
      <c r="J8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4" s="47">
        <f>IFERROR(Sim[[#This Row],[Ending on-hand]]/Sim[[#This Row],[Sept daily rate]],0)</f>
        <v>0</v>
      </c>
      <c r="L84" s="50" t="str">
        <f>_xlfn.XLOOKUP(Sim[[#This Row],[Product ID]],Table3[Product ID],Table3[Rev class],,0)</f>
        <v>B</v>
      </c>
      <c r="M84" s="47">
        <v>2.8507462686567164</v>
      </c>
      <c r="N84" s="43">
        <v>25</v>
      </c>
      <c r="O84" s="47">
        <f>IFERROR(_xlfn.STDEV.S(_xlfn.XLOOKUP(Sim[[#This Row],[Product ID]],Demand!$A$2:$A$101,Demand!$AD$2:$AG$101)),0)</f>
        <v>0</v>
      </c>
      <c r="P84" s="47">
        <f>Sim[[#This Row],[SigmaMonthly]]/SQRT(30)</f>
        <v>0</v>
      </c>
      <c r="Q84" s="44">
        <f>_xlfn.NORM.S.INV(_xlfn.XLOOKUP(Sim[[#This Row],[Class]],ServiceTbl[Class],ServiceTbl[Level]))</f>
        <v>1.6448536269514715</v>
      </c>
      <c r="R84" s="48">
        <f>ROUNDUP(Sim[[#This Row],[Z]]*Sim[[#This Row],[SigmaDaily]]*SQRT(Sim[[#This Row],[LT]]),0)</f>
        <v>0</v>
      </c>
      <c r="S84" s="48">
        <f>ROUNDUP(Sim[[#This Row],[Avg daily demand]]*Sim[[#This Row],[LT]]+Sim[[#This Row],[SS]],0)</f>
        <v>0</v>
      </c>
      <c r="T8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4" s="47"/>
    </row>
    <row r="85" spans="1:22" x14ac:dyDescent="0.2">
      <c r="A85" s="46">
        <v>825</v>
      </c>
      <c r="B85" s="40" t="s">
        <v>11</v>
      </c>
      <c r="C85" s="56">
        <v>0</v>
      </c>
      <c r="D85" s="56">
        <v>0</v>
      </c>
      <c r="E85" s="47">
        <v>0</v>
      </c>
      <c r="F85" s="48">
        <v>140</v>
      </c>
      <c r="G85" s="48">
        <f>Sim[[#This Row],[Avg daily demand]]*Sim[[#This Row],[Seed days]]</f>
        <v>0</v>
      </c>
      <c r="H85" s="49">
        <f>Sim[[#This Row],[Seed on-hand]]-Sim[[#This Row],[Sept units]]</f>
        <v>0</v>
      </c>
      <c r="I85" s="44">
        <f>Sim[[#This Row],[Sept units]]/30</f>
        <v>0</v>
      </c>
      <c r="J8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5" s="47">
        <f>IFERROR(Sim[[#This Row],[Ending on-hand]]/Sim[[#This Row],[Sept daily rate]],0)</f>
        <v>0</v>
      </c>
      <c r="L85" s="50" t="str">
        <f>_xlfn.XLOOKUP(Sim[[#This Row],[Product ID]],Table3[Product ID],Table3[Rev class],,0)</f>
        <v>B</v>
      </c>
      <c r="M85" s="47">
        <v>2.9959183673469387</v>
      </c>
      <c r="N85" s="43">
        <v>31.989999770000001</v>
      </c>
      <c r="O85" s="47">
        <f>IFERROR(_xlfn.STDEV.S(_xlfn.XLOOKUP(Sim[[#This Row],[Product ID]],Demand!$A$2:$A$101,Demand!$AD$2:$AG$101)),0)</f>
        <v>0</v>
      </c>
      <c r="P85" s="47">
        <f>Sim[[#This Row],[SigmaMonthly]]/SQRT(30)</f>
        <v>0</v>
      </c>
      <c r="Q85" s="44">
        <f>_xlfn.NORM.S.INV(_xlfn.XLOOKUP(Sim[[#This Row],[Class]],ServiceTbl[Class],ServiceTbl[Level]))</f>
        <v>1.6448536269514715</v>
      </c>
      <c r="R85" s="48">
        <f>ROUNDUP(Sim[[#This Row],[Z]]*Sim[[#This Row],[SigmaDaily]]*SQRT(Sim[[#This Row],[LT]]),0)</f>
        <v>0</v>
      </c>
      <c r="S85" s="48">
        <f>ROUNDUP(Sim[[#This Row],[Avg daily demand]]*Sim[[#This Row],[LT]]+Sim[[#This Row],[SS]],0)</f>
        <v>0</v>
      </c>
      <c r="T8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5" s="47"/>
    </row>
    <row r="86" spans="1:22" x14ac:dyDescent="0.2">
      <c r="A86" s="46">
        <v>273</v>
      </c>
      <c r="B86" s="40" t="s">
        <v>27</v>
      </c>
      <c r="C86" s="56">
        <v>0</v>
      </c>
      <c r="D86" s="56">
        <v>0</v>
      </c>
      <c r="E86" s="47">
        <v>0</v>
      </c>
      <c r="F86" s="48">
        <v>109</v>
      </c>
      <c r="G86" s="48">
        <f>Sim[[#This Row],[Avg daily demand]]*Sim[[#This Row],[Seed days]]</f>
        <v>0</v>
      </c>
      <c r="H86" s="49">
        <f>Sim[[#This Row],[Seed on-hand]]-Sim[[#This Row],[Sept units]]</f>
        <v>0</v>
      </c>
      <c r="I86" s="44">
        <f>Sim[[#This Row],[Sept units]]/30</f>
        <v>0</v>
      </c>
      <c r="J8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6" s="47">
        <f>IFERROR(Sim[[#This Row],[Ending on-hand]]/Sim[[#This Row],[Sept daily rate]],0)</f>
        <v>0</v>
      </c>
      <c r="L86" s="50" t="str">
        <f>_xlfn.XLOOKUP(Sim[[#This Row],[Product ID]],Table3[Product ID],Table3[Rev class],,0)</f>
        <v>B</v>
      </c>
      <c r="M86" s="47">
        <v>2.8487394957983194</v>
      </c>
      <c r="N86" s="43">
        <v>27.989999770000001</v>
      </c>
      <c r="O86" s="47">
        <f>IFERROR(_xlfn.STDEV.S(_xlfn.XLOOKUP(Sim[[#This Row],[Product ID]],Demand!$A$2:$A$101,Demand!$AD$2:$AG$101)),0)</f>
        <v>0</v>
      </c>
      <c r="P86" s="47">
        <f>Sim[[#This Row],[SigmaMonthly]]/SQRT(30)</f>
        <v>0</v>
      </c>
      <c r="Q86" s="44">
        <f>_xlfn.NORM.S.INV(_xlfn.XLOOKUP(Sim[[#This Row],[Class]],ServiceTbl[Class],ServiceTbl[Level]))</f>
        <v>1.6448536269514715</v>
      </c>
      <c r="R86" s="48">
        <f>ROUNDUP(Sim[[#This Row],[Z]]*Sim[[#This Row],[SigmaDaily]]*SQRT(Sim[[#This Row],[LT]]),0)</f>
        <v>0</v>
      </c>
      <c r="S86" s="48">
        <f>ROUNDUP(Sim[[#This Row],[Avg daily demand]]*Sim[[#This Row],[LT]]+Sim[[#This Row],[SS]],0)</f>
        <v>0</v>
      </c>
      <c r="T8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6" s="47"/>
    </row>
    <row r="87" spans="1:22" x14ac:dyDescent="0.2">
      <c r="A87" s="46">
        <v>810</v>
      </c>
      <c r="B87" s="40" t="s">
        <v>45</v>
      </c>
      <c r="C87" s="56">
        <v>0</v>
      </c>
      <c r="D87" s="56">
        <v>0</v>
      </c>
      <c r="E87" s="47">
        <v>0</v>
      </c>
      <c r="F87" s="48">
        <v>55</v>
      </c>
      <c r="G87" s="48">
        <f>Sim[[#This Row],[Avg daily demand]]*Sim[[#This Row],[Seed days]]</f>
        <v>0</v>
      </c>
      <c r="H87" s="49">
        <f>Sim[[#This Row],[Seed on-hand]]-Sim[[#This Row],[Sept units]]</f>
        <v>0</v>
      </c>
      <c r="I87" s="44">
        <f>Sim[[#This Row],[Sept units]]/30</f>
        <v>0</v>
      </c>
      <c r="J8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7" s="47">
        <f>IFERROR(Sim[[#This Row],[Ending on-hand]]/Sim[[#This Row],[Sept daily rate]],0)</f>
        <v>0</v>
      </c>
      <c r="L87" s="50" t="str">
        <f>_xlfn.XLOOKUP(Sim[[#This Row],[Product ID]],Table3[Product ID],Table3[Rev class],,0)</f>
        <v>B</v>
      </c>
      <c r="M87" s="47">
        <v>2.8571428571428572</v>
      </c>
      <c r="N87" s="43">
        <v>19.989999770000001</v>
      </c>
      <c r="O87" s="47">
        <f>IFERROR(_xlfn.STDEV.S(_xlfn.XLOOKUP(Sim[[#This Row],[Product ID]],Demand!$A$2:$A$101,Demand!$AD$2:$AG$101)),0)</f>
        <v>0</v>
      </c>
      <c r="P87" s="47">
        <f>Sim[[#This Row],[SigmaMonthly]]/SQRT(30)</f>
        <v>0</v>
      </c>
      <c r="Q87" s="44">
        <f>_xlfn.NORM.S.INV(_xlfn.XLOOKUP(Sim[[#This Row],[Class]],ServiceTbl[Class],ServiceTbl[Level]))</f>
        <v>1.6448536269514715</v>
      </c>
      <c r="R87" s="48">
        <f>ROUNDUP(Sim[[#This Row],[Z]]*Sim[[#This Row],[SigmaDaily]]*SQRT(Sim[[#This Row],[LT]]),0)</f>
        <v>0</v>
      </c>
      <c r="S87" s="48">
        <f>ROUNDUP(Sim[[#This Row],[Avg daily demand]]*Sim[[#This Row],[LT]]+Sim[[#This Row],[SS]],0)</f>
        <v>0</v>
      </c>
      <c r="T8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7" s="47"/>
    </row>
    <row r="88" spans="1:22" x14ac:dyDescent="0.2">
      <c r="A88" s="46">
        <v>37</v>
      </c>
      <c r="B88" s="40" t="s">
        <v>43</v>
      </c>
      <c r="C88" s="56">
        <v>0</v>
      </c>
      <c r="D88" s="56">
        <v>0</v>
      </c>
      <c r="E88" s="47">
        <v>0</v>
      </c>
      <c r="F88" s="48">
        <v>128</v>
      </c>
      <c r="G88" s="48">
        <f>Sim[[#This Row],[Avg daily demand]]*Sim[[#This Row],[Seed days]]</f>
        <v>0</v>
      </c>
      <c r="H88" s="49">
        <f>Sim[[#This Row],[Seed on-hand]]-Sim[[#This Row],[Sept units]]</f>
        <v>0</v>
      </c>
      <c r="I88" s="44">
        <f>Sim[[#This Row],[Sept units]]/30</f>
        <v>0</v>
      </c>
      <c r="J8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Inactive</v>
      </c>
      <c r="K88" s="47">
        <f>IFERROR(Sim[[#This Row],[Ending on-hand]]/Sim[[#This Row],[Sept daily rate]],0)</f>
        <v>0</v>
      </c>
      <c r="L88" s="50" t="str">
        <f>_xlfn.XLOOKUP(Sim[[#This Row],[Product ID]],Table3[Product ID],Table3[Rev class],,0)</f>
        <v>B</v>
      </c>
      <c r="M88" s="47">
        <v>2.760956175298805</v>
      </c>
      <c r="N88" s="43">
        <v>34.990001679999999</v>
      </c>
      <c r="O88" s="47">
        <f>IFERROR(_xlfn.STDEV.S(_xlfn.XLOOKUP(Sim[[#This Row],[Product ID]],Demand!$A$2:$A$101,Demand!$AD$2:$AG$101)),0)</f>
        <v>0</v>
      </c>
      <c r="P88" s="47">
        <f>Sim[[#This Row],[SigmaMonthly]]/SQRT(30)</f>
        <v>0</v>
      </c>
      <c r="Q88" s="44">
        <f>_xlfn.NORM.S.INV(_xlfn.XLOOKUP(Sim[[#This Row],[Class]],ServiceTbl[Class],ServiceTbl[Level]))</f>
        <v>1.6448536269514715</v>
      </c>
      <c r="R88" s="48">
        <f>ROUNDUP(Sim[[#This Row],[Z]]*Sim[[#This Row],[SigmaDaily]]*SQRT(Sim[[#This Row],[LT]]),0)</f>
        <v>0</v>
      </c>
      <c r="S88" s="48">
        <f>ROUNDUP(Sim[[#This Row],[Avg daily demand]]*Sim[[#This Row],[LT]]+Sim[[#This Row],[SS]],0)</f>
        <v>0</v>
      </c>
      <c r="T8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Inactive</v>
      </c>
      <c r="U8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88" s="47"/>
    </row>
    <row r="89" spans="1:22" x14ac:dyDescent="0.2">
      <c r="A89" s="46">
        <v>691</v>
      </c>
      <c r="B89" s="40" t="s">
        <v>91</v>
      </c>
      <c r="C89" s="56">
        <v>94</v>
      </c>
      <c r="D89" s="56">
        <v>0</v>
      </c>
      <c r="E89" s="47">
        <v>1.0217391304347827</v>
      </c>
      <c r="F89" s="48">
        <v>114</v>
      </c>
      <c r="G89" s="48">
        <f>Sim[[#This Row],[Avg daily demand]]*Sim[[#This Row],[Seed days]]</f>
        <v>116.47826086956523</v>
      </c>
      <c r="H89" s="49">
        <f>Sim[[#This Row],[Seed on-hand]]-Sim[[#This Row],[Sept units]]</f>
        <v>116.47826086956523</v>
      </c>
      <c r="I89" s="44">
        <f>Sim[[#This Row],[Sept units]]/30</f>
        <v>0</v>
      </c>
      <c r="J8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 recent demand</v>
      </c>
      <c r="K89" s="47">
        <f>IFERROR(Sim[[#This Row],[Ending on-hand]]/Sim[[#This Row],[Sept daily rate]],0)</f>
        <v>0</v>
      </c>
      <c r="L89" s="50" t="str">
        <f>_xlfn.XLOOKUP(Sim[[#This Row],[Product ID]],Table3[Product ID],Table3[Rev class],,0)</f>
        <v>C</v>
      </c>
      <c r="M89" s="47">
        <v>2.8163265306122449</v>
      </c>
      <c r="N89" s="43">
        <v>79.989997860000003</v>
      </c>
      <c r="O89" s="47">
        <f>IFERROR(_xlfn.STDEV.S(_xlfn.XLOOKUP(Sim[[#This Row],[Product ID]],Demand!$A$2:$A$101,Demand!$AD$2:$AG$101)),0)</f>
        <v>14.795832746644125</v>
      </c>
      <c r="P89" s="47">
        <f>Sim[[#This Row],[SigmaMonthly]]/SQRT(30)</f>
        <v>2.7013371174702021</v>
      </c>
      <c r="Q89" s="44">
        <f>_xlfn.NORM.S.INV(_xlfn.XLOOKUP(Sim[[#This Row],[Class]],ServiceTbl[Class],ServiceTbl[Level]))</f>
        <v>1.2815515655446006</v>
      </c>
      <c r="R89" s="48">
        <f>ROUNDUP(Sim[[#This Row],[Z]]*Sim[[#This Row],[SigmaDaily]]*SQRT(Sim[[#This Row],[LT]]),0)</f>
        <v>6</v>
      </c>
      <c r="S89" s="48">
        <f>ROUNDUP(Sim[[#This Row],[Avg daily demand]]*Sim[[#This Row],[LT]]+Sim[[#This Row],[SS]],0)</f>
        <v>9</v>
      </c>
      <c r="T8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No recent demand</v>
      </c>
      <c r="U8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9317.0958376930448</v>
      </c>
      <c r="V89" s="47"/>
    </row>
    <row r="90" spans="1:22" x14ac:dyDescent="0.2">
      <c r="A90" s="46">
        <v>743</v>
      </c>
      <c r="B90" s="40" t="s">
        <v>83</v>
      </c>
      <c r="C90" s="56">
        <v>39</v>
      </c>
      <c r="D90" s="56">
        <v>0</v>
      </c>
      <c r="E90" s="47">
        <v>0.42391304347826086</v>
      </c>
      <c r="F90" s="48">
        <v>10</v>
      </c>
      <c r="G90" s="48">
        <f>Sim[[#This Row],[Avg daily demand]]*Sim[[#This Row],[Seed days]]</f>
        <v>4.2391304347826084</v>
      </c>
      <c r="H90" s="49">
        <f>Sim[[#This Row],[Seed on-hand]]-Sim[[#This Row],[Sept units]]</f>
        <v>4.2391304347826084</v>
      </c>
      <c r="I90" s="44">
        <f>Sim[[#This Row],[Sept units]]/30</f>
        <v>0</v>
      </c>
      <c r="J9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No recent demand</v>
      </c>
      <c r="K90" s="47">
        <f>IFERROR(Sim[[#This Row],[Ending on-hand]]/Sim[[#This Row],[Sept daily rate]],0)</f>
        <v>0</v>
      </c>
      <c r="L90" s="50" t="str">
        <f>_xlfn.XLOOKUP(Sim[[#This Row],[Product ID]],Table3[Product ID],Table3[Rev class],,0)</f>
        <v>C</v>
      </c>
      <c r="M90" s="47">
        <v>2.5737704918032787</v>
      </c>
      <c r="N90" s="43">
        <v>169.9900055</v>
      </c>
      <c r="O90" s="47">
        <f>IFERROR(_xlfn.STDEV.S(_xlfn.XLOOKUP(Sim[[#This Row],[Product ID]],Demand!$A$2:$A$101,Demand!$AD$2:$AG$101)),0)</f>
        <v>3.3040379335998349</v>
      </c>
      <c r="P90" s="47">
        <f>Sim[[#This Row],[SigmaMonthly]]/SQRT(30)</f>
        <v>0.60323203569512862</v>
      </c>
      <c r="Q90" s="44">
        <f>_xlfn.NORM.S.INV(_xlfn.XLOOKUP(Sim[[#This Row],[Class]],ServiceTbl[Class],ServiceTbl[Level]))</f>
        <v>1.2815515655446006</v>
      </c>
      <c r="R90" s="48">
        <f>ROUNDUP(Sim[[#This Row],[Z]]*Sim[[#This Row],[SigmaDaily]]*SQRT(Sim[[#This Row],[LT]]),0)</f>
        <v>2</v>
      </c>
      <c r="S90" s="48">
        <f>ROUNDUP(Sim[[#This Row],[Avg daily demand]]*Sim[[#This Row],[LT]]+Sim[[#This Row],[SS]],0)</f>
        <v>4</v>
      </c>
      <c r="T9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No recent demand</v>
      </c>
      <c r="U9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720.60980592391297</v>
      </c>
      <c r="V90" s="47"/>
    </row>
    <row r="91" spans="1:22" x14ac:dyDescent="0.2">
      <c r="A91" s="46">
        <v>1059</v>
      </c>
      <c r="B91" s="40" t="s">
        <v>99</v>
      </c>
      <c r="C91" s="56">
        <v>0</v>
      </c>
      <c r="D91" s="56">
        <v>40</v>
      </c>
      <c r="E91" s="47">
        <v>0</v>
      </c>
      <c r="F91" s="48">
        <v>64</v>
      </c>
      <c r="G91" s="48">
        <f>Sim[[#This Row],[Avg daily demand]]*Sim[[#This Row],[Seed days]]</f>
        <v>0</v>
      </c>
      <c r="H91" s="49">
        <f>Sim[[#This Row],[Seed on-hand]]-Sim[[#This Row],[Sept units]]</f>
        <v>-40</v>
      </c>
      <c r="I91" s="44">
        <f>Sim[[#This Row],[Sept units]]/30</f>
        <v>1.3333333333333333</v>
      </c>
      <c r="J9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1" s="47">
        <f>IFERROR(Sim[[#This Row],[Ending on-hand]]/Sim[[#This Row],[Sept daily rate]],0)</f>
        <v>-30</v>
      </c>
      <c r="L91" s="50" t="str">
        <f>_xlfn.XLOOKUP(Sim[[#This Row],[Product ID]],Table3[Product ID],Table3[Rev class],,0)</f>
        <v>B</v>
      </c>
      <c r="M91" s="47">
        <v>2.9</v>
      </c>
      <c r="N91" s="43">
        <v>349.98999020000002</v>
      </c>
      <c r="O91" s="47">
        <f>IFERROR(_xlfn.STDEV.S(_xlfn.XLOOKUP(Sim[[#This Row],[Product ID]],Demand!$A$2:$A$101,Demand!$AD$2:$AG$101)),0)</f>
        <v>0</v>
      </c>
      <c r="P91" s="47">
        <f>Sim[[#This Row],[SigmaMonthly]]/SQRT(30)</f>
        <v>0</v>
      </c>
      <c r="Q91" s="44">
        <f>_xlfn.NORM.S.INV(_xlfn.XLOOKUP(Sim[[#This Row],[Class]],ServiceTbl[Class],ServiceTbl[Level]))</f>
        <v>1.6448536269514715</v>
      </c>
      <c r="R91" s="48">
        <f>ROUNDUP(Sim[[#This Row],[Z]]*Sim[[#This Row],[SigmaDaily]]*SQRT(Sim[[#This Row],[LT]]),0)</f>
        <v>0</v>
      </c>
      <c r="S91" s="48">
        <f>ROUNDUP(Sim[[#This Row],[Avg daily demand]]*Sim[[#This Row],[LT]]+Sim[[#This Row],[SS]],0)</f>
        <v>0</v>
      </c>
      <c r="T9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1" s="47"/>
    </row>
    <row r="92" spans="1:22" x14ac:dyDescent="0.2">
      <c r="A92" s="46">
        <v>364</v>
      </c>
      <c r="B92" s="40" t="s">
        <v>41</v>
      </c>
      <c r="C92" s="56">
        <v>0</v>
      </c>
      <c r="D92" s="56">
        <v>36</v>
      </c>
      <c r="E92" s="47">
        <v>0</v>
      </c>
      <c r="F92" s="48">
        <v>25</v>
      </c>
      <c r="G92" s="48">
        <f>Sim[[#This Row],[Avg daily demand]]*Sim[[#This Row],[Seed days]]</f>
        <v>0</v>
      </c>
      <c r="H92" s="49">
        <f>Sim[[#This Row],[Seed on-hand]]-Sim[[#This Row],[Sept units]]</f>
        <v>-36</v>
      </c>
      <c r="I92" s="44">
        <f>Sim[[#This Row],[Sept units]]/30</f>
        <v>1.2</v>
      </c>
      <c r="J9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2" s="47">
        <f>IFERROR(Sim[[#This Row],[Ending on-hand]]/Sim[[#This Row],[Sept daily rate]],0)</f>
        <v>-30</v>
      </c>
      <c r="L92" s="50" t="str">
        <f>_xlfn.XLOOKUP(Sim[[#This Row],[Product ID]],Table3[Product ID],Table3[Rev class],,0)</f>
        <v>C</v>
      </c>
      <c r="M92" s="47">
        <v>3</v>
      </c>
      <c r="N92" s="43">
        <v>299.98999020000002</v>
      </c>
      <c r="O92" s="47">
        <f>IFERROR(_xlfn.STDEV.S(_xlfn.XLOOKUP(Sim[[#This Row],[Product ID]],Demand!$A$2:$A$101,Demand!$AD$2:$AG$101)),0)</f>
        <v>0</v>
      </c>
      <c r="P92" s="47">
        <f>Sim[[#This Row],[SigmaMonthly]]/SQRT(30)</f>
        <v>0</v>
      </c>
      <c r="Q92" s="44">
        <f>_xlfn.NORM.S.INV(_xlfn.XLOOKUP(Sim[[#This Row],[Class]],ServiceTbl[Class],ServiceTbl[Level]))</f>
        <v>1.2815515655446006</v>
      </c>
      <c r="R92" s="48">
        <f>ROUNDUP(Sim[[#This Row],[Z]]*Sim[[#This Row],[SigmaDaily]]*SQRT(Sim[[#This Row],[LT]]),0)</f>
        <v>0</v>
      </c>
      <c r="S92" s="48">
        <f>ROUNDUP(Sim[[#This Row],[Avg daily demand]]*Sim[[#This Row],[LT]]+Sim[[#This Row],[SS]],0)</f>
        <v>0</v>
      </c>
      <c r="T9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2" s="47"/>
    </row>
    <row r="93" spans="1:22" x14ac:dyDescent="0.2">
      <c r="A93" s="46">
        <v>768</v>
      </c>
      <c r="B93" s="40" t="s">
        <v>82</v>
      </c>
      <c r="C93" s="56">
        <v>0</v>
      </c>
      <c r="D93" s="56">
        <v>33</v>
      </c>
      <c r="E93" s="47">
        <v>0</v>
      </c>
      <c r="F93" s="48">
        <v>9</v>
      </c>
      <c r="G93" s="48">
        <f>Sim[[#This Row],[Avg daily demand]]*Sim[[#This Row],[Seed days]]</f>
        <v>0</v>
      </c>
      <c r="H93" s="49">
        <f>Sim[[#This Row],[Seed on-hand]]-Sim[[#This Row],[Sept units]]</f>
        <v>-33</v>
      </c>
      <c r="I93" s="44">
        <f>Sim[[#This Row],[Sept units]]/30</f>
        <v>1.1000000000000001</v>
      </c>
      <c r="J9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3" s="47">
        <f>IFERROR(Sim[[#This Row],[Ending on-hand]]/Sim[[#This Row],[Sept daily rate]],0)</f>
        <v>-29.999999999999996</v>
      </c>
      <c r="L93" s="50" t="str">
        <f>_xlfn.XLOOKUP(Sim[[#This Row],[Product ID]],Table3[Product ID],Table3[Rev class],,0)</f>
        <v>C</v>
      </c>
      <c r="M93" s="47">
        <v>2.9090909090909092</v>
      </c>
      <c r="N93" s="43">
        <v>299.98999020000002</v>
      </c>
      <c r="O93" s="47">
        <f>IFERROR(_xlfn.STDEV.S(_xlfn.XLOOKUP(Sim[[#This Row],[Product ID]],Demand!$A$2:$A$101,Demand!$AD$2:$AG$101)),0)</f>
        <v>0</v>
      </c>
      <c r="P93" s="47">
        <f>Sim[[#This Row],[SigmaMonthly]]/SQRT(30)</f>
        <v>0</v>
      </c>
      <c r="Q93" s="44">
        <f>_xlfn.NORM.S.INV(_xlfn.XLOOKUP(Sim[[#This Row],[Class]],ServiceTbl[Class],ServiceTbl[Level]))</f>
        <v>1.2815515655446006</v>
      </c>
      <c r="R93" s="48">
        <f>ROUNDUP(Sim[[#This Row],[Z]]*Sim[[#This Row],[SigmaDaily]]*SQRT(Sim[[#This Row],[LT]]),0)</f>
        <v>0</v>
      </c>
      <c r="S93" s="48">
        <f>ROUNDUP(Sim[[#This Row],[Avg daily demand]]*Sim[[#This Row],[LT]]+Sim[[#This Row],[SS]],0)</f>
        <v>0</v>
      </c>
      <c r="T9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3" s="47"/>
    </row>
    <row r="94" spans="1:22" x14ac:dyDescent="0.2">
      <c r="A94" s="46">
        <v>303</v>
      </c>
      <c r="B94" s="40" t="s">
        <v>51</v>
      </c>
      <c r="C94" s="56">
        <v>0</v>
      </c>
      <c r="D94" s="56">
        <v>33</v>
      </c>
      <c r="E94" s="47">
        <v>0</v>
      </c>
      <c r="F94" s="48">
        <v>88</v>
      </c>
      <c r="G94" s="48">
        <f>Sim[[#This Row],[Avg daily demand]]*Sim[[#This Row],[Seed days]]</f>
        <v>0</v>
      </c>
      <c r="H94" s="49">
        <f>Sim[[#This Row],[Seed on-hand]]-Sim[[#This Row],[Sept units]]</f>
        <v>-33</v>
      </c>
      <c r="I94" s="44">
        <f>Sim[[#This Row],[Sept units]]/30</f>
        <v>1.1000000000000001</v>
      </c>
      <c r="J94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4" s="47">
        <f>IFERROR(Sim[[#This Row],[Ending on-hand]]/Sim[[#This Row],[Sept daily rate]],0)</f>
        <v>-29.999999999999996</v>
      </c>
      <c r="L94" s="50" t="str">
        <f>_xlfn.XLOOKUP(Sim[[#This Row],[Product ID]],Table3[Product ID],Table3[Rev class],,0)</f>
        <v>C</v>
      </c>
      <c r="M94" s="47">
        <v>3.0909090909090908</v>
      </c>
      <c r="N94" s="43">
        <v>399.98999020000002</v>
      </c>
      <c r="O94" s="47">
        <f>IFERROR(_xlfn.STDEV.S(_xlfn.XLOOKUP(Sim[[#This Row],[Product ID]],Demand!$A$2:$A$101,Demand!$AD$2:$AG$101)),0)</f>
        <v>0</v>
      </c>
      <c r="P94" s="47">
        <f>Sim[[#This Row],[SigmaMonthly]]/SQRT(30)</f>
        <v>0</v>
      </c>
      <c r="Q94" s="44">
        <f>_xlfn.NORM.S.INV(_xlfn.XLOOKUP(Sim[[#This Row],[Class]],ServiceTbl[Class],ServiceTbl[Level]))</f>
        <v>1.2815515655446006</v>
      </c>
      <c r="R94" s="48">
        <f>ROUNDUP(Sim[[#This Row],[Z]]*Sim[[#This Row],[SigmaDaily]]*SQRT(Sim[[#This Row],[LT]]),0)</f>
        <v>0</v>
      </c>
      <c r="S94" s="48">
        <f>ROUNDUP(Sim[[#This Row],[Avg daily demand]]*Sim[[#This Row],[LT]]+Sim[[#This Row],[SS]],0)</f>
        <v>0</v>
      </c>
      <c r="T94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4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4" s="47"/>
    </row>
    <row r="95" spans="1:22" x14ac:dyDescent="0.2">
      <c r="A95" s="46">
        <v>203</v>
      </c>
      <c r="B95" s="40" t="s">
        <v>40</v>
      </c>
      <c r="C95" s="56">
        <v>0</v>
      </c>
      <c r="D95" s="56">
        <v>32</v>
      </c>
      <c r="E95" s="47">
        <v>0</v>
      </c>
      <c r="F95" s="48">
        <v>62</v>
      </c>
      <c r="G95" s="48">
        <f>Sim[[#This Row],[Avg daily demand]]*Sim[[#This Row],[Seed days]]</f>
        <v>0</v>
      </c>
      <c r="H95" s="49">
        <f>Sim[[#This Row],[Seed on-hand]]-Sim[[#This Row],[Sept units]]</f>
        <v>-32</v>
      </c>
      <c r="I95" s="44">
        <f>Sim[[#This Row],[Sept units]]/30</f>
        <v>1.0666666666666667</v>
      </c>
      <c r="J95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5" s="47">
        <f>IFERROR(Sim[[#This Row],[Ending on-hand]]/Sim[[#This Row],[Sept daily rate]],0)</f>
        <v>-30</v>
      </c>
      <c r="L95" s="50" t="str">
        <f>_xlfn.XLOOKUP(Sim[[#This Row],[Product ID]],Table3[Product ID],Table3[Rev class],,0)</f>
        <v>C</v>
      </c>
      <c r="M95" s="47">
        <v>3.15625</v>
      </c>
      <c r="N95" s="43">
        <v>399.98999020000002</v>
      </c>
      <c r="O95" s="47">
        <f>IFERROR(_xlfn.STDEV.S(_xlfn.XLOOKUP(Sim[[#This Row],[Product ID]],Demand!$A$2:$A$101,Demand!$AD$2:$AG$101)),0)</f>
        <v>0</v>
      </c>
      <c r="P95" s="47">
        <f>Sim[[#This Row],[SigmaMonthly]]/SQRT(30)</f>
        <v>0</v>
      </c>
      <c r="Q95" s="44">
        <f>_xlfn.NORM.S.INV(_xlfn.XLOOKUP(Sim[[#This Row],[Class]],ServiceTbl[Class],ServiceTbl[Level]))</f>
        <v>1.2815515655446006</v>
      </c>
      <c r="R95" s="48">
        <f>ROUNDUP(Sim[[#This Row],[Z]]*Sim[[#This Row],[SigmaDaily]]*SQRT(Sim[[#This Row],[LT]]),0)</f>
        <v>0</v>
      </c>
      <c r="S95" s="48">
        <f>ROUNDUP(Sim[[#This Row],[Avg daily demand]]*Sim[[#This Row],[LT]]+Sim[[#This Row],[SS]],0)</f>
        <v>0</v>
      </c>
      <c r="T95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5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5" s="47"/>
    </row>
    <row r="96" spans="1:22" x14ac:dyDescent="0.2">
      <c r="A96" s="46">
        <v>845</v>
      </c>
      <c r="B96" s="40" t="s">
        <v>60</v>
      </c>
      <c r="C96" s="56">
        <v>0</v>
      </c>
      <c r="D96" s="56">
        <v>31</v>
      </c>
      <c r="E96" s="47">
        <v>0</v>
      </c>
      <c r="F96" s="48">
        <v>45</v>
      </c>
      <c r="G96" s="48">
        <f>Sim[[#This Row],[Avg daily demand]]*Sim[[#This Row],[Seed days]]</f>
        <v>0</v>
      </c>
      <c r="H96" s="49">
        <f>Sim[[#This Row],[Seed on-hand]]-Sim[[#This Row],[Sept units]]</f>
        <v>-31</v>
      </c>
      <c r="I96" s="44">
        <f>Sim[[#This Row],[Sept units]]/30</f>
        <v>1.0333333333333334</v>
      </c>
      <c r="J96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6" s="47">
        <f>IFERROR(Sim[[#This Row],[Ending on-hand]]/Sim[[#This Row],[Sept daily rate]],0)</f>
        <v>-29.999999999999996</v>
      </c>
      <c r="L96" s="50" t="str">
        <f>_xlfn.XLOOKUP(Sim[[#This Row],[Product ID]],Table3[Product ID],Table3[Rev class],,0)</f>
        <v>C</v>
      </c>
      <c r="M96" s="47">
        <v>3.032258064516129</v>
      </c>
      <c r="N96" s="43">
        <v>299.98999020000002</v>
      </c>
      <c r="O96" s="47">
        <f>IFERROR(_xlfn.STDEV.S(_xlfn.XLOOKUP(Sim[[#This Row],[Product ID]],Demand!$A$2:$A$101,Demand!$AD$2:$AG$101)),0)</f>
        <v>0</v>
      </c>
      <c r="P96" s="47">
        <f>Sim[[#This Row],[SigmaMonthly]]/SQRT(30)</f>
        <v>0</v>
      </c>
      <c r="Q96" s="44">
        <f>_xlfn.NORM.S.INV(_xlfn.XLOOKUP(Sim[[#This Row],[Class]],ServiceTbl[Class],ServiceTbl[Level]))</f>
        <v>1.2815515655446006</v>
      </c>
      <c r="R96" s="48">
        <f>ROUNDUP(Sim[[#This Row],[Z]]*Sim[[#This Row],[SigmaDaily]]*SQRT(Sim[[#This Row],[LT]]),0)</f>
        <v>0</v>
      </c>
      <c r="S96" s="48">
        <f>ROUNDUP(Sim[[#This Row],[Avg daily demand]]*Sim[[#This Row],[LT]]+Sim[[#This Row],[SS]],0)</f>
        <v>0</v>
      </c>
      <c r="T96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6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6" s="47"/>
    </row>
    <row r="97" spans="1:22" x14ac:dyDescent="0.2">
      <c r="A97" s="46">
        <v>58</v>
      </c>
      <c r="B97" s="40" t="s">
        <v>49</v>
      </c>
      <c r="C97" s="56">
        <v>0</v>
      </c>
      <c r="D97" s="56">
        <v>28</v>
      </c>
      <c r="E97" s="47">
        <v>0</v>
      </c>
      <c r="F97" s="48">
        <v>92</v>
      </c>
      <c r="G97" s="48">
        <f>Sim[[#This Row],[Avg daily demand]]*Sim[[#This Row],[Seed days]]</f>
        <v>0</v>
      </c>
      <c r="H97" s="49">
        <f>Sim[[#This Row],[Seed on-hand]]-Sim[[#This Row],[Sept units]]</f>
        <v>-28</v>
      </c>
      <c r="I97" s="44">
        <f>Sim[[#This Row],[Sept units]]/30</f>
        <v>0.93333333333333335</v>
      </c>
      <c r="J97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7" s="47">
        <f>IFERROR(Sim[[#This Row],[Ending on-hand]]/Sim[[#This Row],[Sept daily rate]],0)</f>
        <v>-30</v>
      </c>
      <c r="L97" s="50" t="str">
        <f>_xlfn.XLOOKUP(Sim[[#This Row],[Product ID]],Table3[Product ID],Table3[Rev class],,0)</f>
        <v>C</v>
      </c>
      <c r="M97" s="47">
        <v>3</v>
      </c>
      <c r="N97" s="43">
        <v>299.98999020000002</v>
      </c>
      <c r="O97" s="47">
        <f>IFERROR(_xlfn.STDEV.S(_xlfn.XLOOKUP(Sim[[#This Row],[Product ID]],Demand!$A$2:$A$101,Demand!$AD$2:$AG$101)),0)</f>
        <v>0</v>
      </c>
      <c r="P97" s="47">
        <f>Sim[[#This Row],[SigmaMonthly]]/SQRT(30)</f>
        <v>0</v>
      </c>
      <c r="Q97" s="44">
        <f>_xlfn.NORM.S.INV(_xlfn.XLOOKUP(Sim[[#This Row],[Class]],ServiceTbl[Class],ServiceTbl[Level]))</f>
        <v>1.2815515655446006</v>
      </c>
      <c r="R97" s="48">
        <f>ROUNDUP(Sim[[#This Row],[Z]]*Sim[[#This Row],[SigmaDaily]]*SQRT(Sim[[#This Row],[LT]]),0)</f>
        <v>0</v>
      </c>
      <c r="S97" s="48">
        <f>ROUNDUP(Sim[[#This Row],[Avg daily demand]]*Sim[[#This Row],[LT]]+Sim[[#This Row],[SS]],0)</f>
        <v>0</v>
      </c>
      <c r="T97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7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7" s="47"/>
    </row>
    <row r="98" spans="1:22" x14ac:dyDescent="0.2">
      <c r="A98" s="46">
        <v>61</v>
      </c>
      <c r="B98" s="40" t="s">
        <v>66</v>
      </c>
      <c r="C98" s="56">
        <v>0</v>
      </c>
      <c r="D98" s="56">
        <v>26</v>
      </c>
      <c r="E98" s="47">
        <v>0</v>
      </c>
      <c r="F98" s="48">
        <v>135</v>
      </c>
      <c r="G98" s="48">
        <f>Sim[[#This Row],[Avg daily demand]]*Sim[[#This Row],[Seed days]]</f>
        <v>0</v>
      </c>
      <c r="H98" s="49">
        <f>Sim[[#This Row],[Seed on-hand]]-Sim[[#This Row],[Sept units]]</f>
        <v>-26</v>
      </c>
      <c r="I98" s="44">
        <f>Sim[[#This Row],[Sept units]]/30</f>
        <v>0.8666666666666667</v>
      </c>
      <c r="J98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8" s="47">
        <f>IFERROR(Sim[[#This Row],[Ending on-hand]]/Sim[[#This Row],[Sept daily rate]],0)</f>
        <v>-30</v>
      </c>
      <c r="L98" s="50" t="str">
        <f>_xlfn.XLOOKUP(Sim[[#This Row],[Product ID]],Table3[Product ID],Table3[Rev class],,0)</f>
        <v>C</v>
      </c>
      <c r="M98" s="47">
        <v>3.1923076923076925</v>
      </c>
      <c r="N98" s="43">
        <v>299.98999020000002</v>
      </c>
      <c r="O98" s="47">
        <f>IFERROR(_xlfn.STDEV.S(_xlfn.XLOOKUP(Sim[[#This Row],[Product ID]],Demand!$A$2:$A$101,Demand!$AD$2:$AG$101)),0)</f>
        <v>0</v>
      </c>
      <c r="P98" s="47">
        <f>Sim[[#This Row],[SigmaMonthly]]/SQRT(30)</f>
        <v>0</v>
      </c>
      <c r="Q98" s="44">
        <f>_xlfn.NORM.S.INV(_xlfn.XLOOKUP(Sim[[#This Row],[Class]],ServiceTbl[Class],ServiceTbl[Level]))</f>
        <v>1.2815515655446006</v>
      </c>
      <c r="R98" s="48">
        <f>ROUNDUP(Sim[[#This Row],[Z]]*Sim[[#This Row],[SigmaDaily]]*SQRT(Sim[[#This Row],[LT]]),0)</f>
        <v>0</v>
      </c>
      <c r="S98" s="48">
        <f>ROUNDUP(Sim[[#This Row],[Avg daily demand]]*Sim[[#This Row],[LT]]+Sim[[#This Row],[SS]],0)</f>
        <v>0</v>
      </c>
      <c r="T98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8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8" s="47"/>
    </row>
    <row r="99" spans="1:22" x14ac:dyDescent="0.2">
      <c r="A99" s="46">
        <v>127</v>
      </c>
      <c r="B99" s="40" t="s">
        <v>65</v>
      </c>
      <c r="C99" s="56">
        <v>0</v>
      </c>
      <c r="D99" s="56">
        <v>25</v>
      </c>
      <c r="E99" s="47">
        <v>0</v>
      </c>
      <c r="F99" s="48">
        <v>89</v>
      </c>
      <c r="G99" s="48">
        <f>Sim[[#This Row],[Avg daily demand]]*Sim[[#This Row],[Seed days]]</f>
        <v>0</v>
      </c>
      <c r="H99" s="49">
        <f>Sim[[#This Row],[Seed on-hand]]-Sim[[#This Row],[Sept units]]</f>
        <v>-25</v>
      </c>
      <c r="I99" s="44">
        <f>Sim[[#This Row],[Sept units]]/30</f>
        <v>0.83333333333333337</v>
      </c>
      <c r="J99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99" s="47">
        <f>IFERROR(Sim[[#This Row],[Ending on-hand]]/Sim[[#This Row],[Sept daily rate]],0)</f>
        <v>-30</v>
      </c>
      <c r="L99" s="50" t="str">
        <f>_xlfn.XLOOKUP(Sim[[#This Row],[Product ID]],Table3[Product ID],Table3[Rev class],,0)</f>
        <v>C</v>
      </c>
      <c r="M99" s="47">
        <v>3.08</v>
      </c>
      <c r="N99" s="43">
        <v>329.98999020000002</v>
      </c>
      <c r="O99" s="47">
        <f>IFERROR(_xlfn.STDEV.S(_xlfn.XLOOKUP(Sim[[#This Row],[Product ID]],Demand!$A$2:$A$101,Demand!$AD$2:$AG$101)),0)</f>
        <v>0</v>
      </c>
      <c r="P99" s="47">
        <f>Sim[[#This Row],[SigmaMonthly]]/SQRT(30)</f>
        <v>0</v>
      </c>
      <c r="Q99" s="44">
        <f>_xlfn.NORM.S.INV(_xlfn.XLOOKUP(Sim[[#This Row],[Class]],ServiceTbl[Class],ServiceTbl[Level]))</f>
        <v>1.2815515655446006</v>
      </c>
      <c r="R99" s="48">
        <f>ROUNDUP(Sim[[#This Row],[Z]]*Sim[[#This Row],[SigmaDaily]]*SQRT(Sim[[#This Row],[LT]]),0)</f>
        <v>0</v>
      </c>
      <c r="S99" s="48">
        <f>ROUNDUP(Sim[[#This Row],[Avg daily demand]]*Sim[[#This Row],[LT]]+Sim[[#This Row],[SS]],0)</f>
        <v>0</v>
      </c>
      <c r="T99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99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99" s="47"/>
    </row>
    <row r="100" spans="1:22" x14ac:dyDescent="0.2">
      <c r="A100" s="46">
        <v>226</v>
      </c>
      <c r="B100" s="40" t="s">
        <v>72</v>
      </c>
      <c r="C100" s="56">
        <v>0</v>
      </c>
      <c r="D100" s="56">
        <v>7</v>
      </c>
      <c r="E100" s="47">
        <v>0</v>
      </c>
      <c r="F100" s="48">
        <v>137</v>
      </c>
      <c r="G100" s="48">
        <f>Sim[[#This Row],[Avg daily demand]]*Sim[[#This Row],[Seed days]]</f>
        <v>0</v>
      </c>
      <c r="H100" s="49">
        <f>Sim[[#This Row],[Seed on-hand]]-Sim[[#This Row],[Sept units]]</f>
        <v>-7</v>
      </c>
      <c r="I100" s="44">
        <f>Sim[[#This Row],[Sept units]]/30</f>
        <v>0.23333333333333334</v>
      </c>
      <c r="J100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100" s="47">
        <f>IFERROR(Sim[[#This Row],[Ending on-hand]]/Sim[[#This Row],[Sept daily rate]],0)</f>
        <v>-30</v>
      </c>
      <c r="L100" s="50" t="str">
        <f>_xlfn.XLOOKUP(Sim[[#This Row],[Product ID]],Table3[Product ID],Table3[Rev class],,0)</f>
        <v>C</v>
      </c>
      <c r="M100" s="47">
        <v>2.4285714285714284</v>
      </c>
      <c r="N100" s="43">
        <v>599.98999019999997</v>
      </c>
      <c r="O100" s="47">
        <f>IFERROR(_xlfn.STDEV.S(_xlfn.XLOOKUP(Sim[[#This Row],[Product ID]],Demand!$A$2:$A$101,Demand!$AD$2:$AG$101)),0)</f>
        <v>0</v>
      </c>
      <c r="P100" s="47">
        <f>Sim[[#This Row],[SigmaMonthly]]/SQRT(30)</f>
        <v>0</v>
      </c>
      <c r="Q100" s="44">
        <f>_xlfn.NORM.S.INV(_xlfn.XLOOKUP(Sim[[#This Row],[Class]],ServiceTbl[Class],ServiceTbl[Level]))</f>
        <v>1.2815515655446006</v>
      </c>
      <c r="R100" s="48">
        <f>ROUNDUP(Sim[[#This Row],[Z]]*Sim[[#This Row],[SigmaDaily]]*SQRT(Sim[[#This Row],[LT]]),0)</f>
        <v>0</v>
      </c>
      <c r="S100" s="48">
        <f>ROUNDUP(Sim[[#This Row],[Avg daily demand]]*Sim[[#This Row],[LT]]+Sim[[#This Row],[SS]],0)</f>
        <v>0</v>
      </c>
      <c r="T100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100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100" s="47"/>
    </row>
    <row r="101" spans="1:22" x14ac:dyDescent="0.2">
      <c r="A101" s="46">
        <v>208</v>
      </c>
      <c r="B101" s="40" t="s">
        <v>73</v>
      </c>
      <c r="C101" s="56">
        <v>0</v>
      </c>
      <c r="D101" s="56">
        <v>6</v>
      </c>
      <c r="E101" s="47">
        <v>0</v>
      </c>
      <c r="F101" s="48">
        <v>129</v>
      </c>
      <c r="G101" s="48">
        <f>Sim[[#This Row],[Avg daily demand]]*Sim[[#This Row],[Seed days]]</f>
        <v>0</v>
      </c>
      <c r="H101" s="49">
        <f>Sim[[#This Row],[Seed on-hand]]-Sim[[#This Row],[Sept units]]</f>
        <v>-6</v>
      </c>
      <c r="I101" s="44">
        <f>Sim[[#This Row],[Sept units]]/30</f>
        <v>0.2</v>
      </c>
      <c r="J101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101" s="47">
        <f>IFERROR(Sim[[#This Row],[Ending on-hand]]/Sim[[#This Row],[Sept daily rate]],0)</f>
        <v>-30</v>
      </c>
      <c r="L101" s="50" t="str">
        <f>_xlfn.XLOOKUP(Sim[[#This Row],[Product ID]],Table3[Product ID],Table3[Rev class],,0)</f>
        <v>C</v>
      </c>
      <c r="M101" s="47">
        <v>3.5</v>
      </c>
      <c r="N101" s="43">
        <v>1999.98999</v>
      </c>
      <c r="O101" s="47">
        <f>IFERROR(_xlfn.STDEV.S(_xlfn.XLOOKUP(Sim[[#This Row],[Product ID]],Demand!$A$2:$A$101,Demand!$AD$2:$AG$101)),0)</f>
        <v>0</v>
      </c>
      <c r="P101" s="47">
        <f>Sim[[#This Row],[SigmaMonthly]]/SQRT(30)</f>
        <v>0</v>
      </c>
      <c r="Q101" s="44">
        <f>_xlfn.NORM.S.INV(_xlfn.XLOOKUP(Sim[[#This Row],[Class]],ServiceTbl[Class],ServiceTbl[Level]))</f>
        <v>1.2815515655446006</v>
      </c>
      <c r="R101" s="48">
        <f>ROUNDUP(Sim[[#This Row],[Z]]*Sim[[#This Row],[SigmaDaily]]*SQRT(Sim[[#This Row],[LT]]),0)</f>
        <v>0</v>
      </c>
      <c r="S101" s="48">
        <f>ROUNDUP(Sim[[#This Row],[Avg daily demand]]*Sim[[#This Row],[LT]]+Sim[[#This Row],[SS]],0)</f>
        <v>0</v>
      </c>
      <c r="T101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101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101" s="47"/>
    </row>
    <row r="102" spans="1:22" x14ac:dyDescent="0.2">
      <c r="A102" s="46">
        <v>860</v>
      </c>
      <c r="B102" s="40" t="s">
        <v>69</v>
      </c>
      <c r="C102" s="56">
        <v>0</v>
      </c>
      <c r="D102" s="56">
        <v>4</v>
      </c>
      <c r="E102" s="47">
        <v>0</v>
      </c>
      <c r="F102" s="48">
        <v>115</v>
      </c>
      <c r="G102" s="48">
        <f>Sim[[#This Row],[Avg daily demand]]*Sim[[#This Row],[Seed days]]</f>
        <v>0</v>
      </c>
      <c r="H102" s="49">
        <f>Sim[[#This Row],[Seed on-hand]]-Sim[[#This Row],[Sept units]]</f>
        <v>-4</v>
      </c>
      <c r="I102" s="44">
        <f>Sim[[#This Row],[Sept units]]/30</f>
        <v>0.13333333333333333</v>
      </c>
      <c r="J102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102" s="47">
        <f>IFERROR(Sim[[#This Row],[Ending on-hand]]/Sim[[#This Row],[Sept daily rate]],0)</f>
        <v>-30</v>
      </c>
      <c r="L102" s="50" t="str">
        <f>_xlfn.XLOOKUP(Sim[[#This Row],[Product ID]],Table3[Product ID],Table3[Rev class],,0)</f>
        <v>C</v>
      </c>
      <c r="M102" s="47">
        <v>3.25</v>
      </c>
      <c r="N102" s="43">
        <v>599.98999019999997</v>
      </c>
      <c r="O102" s="47">
        <f>IFERROR(_xlfn.STDEV.S(_xlfn.XLOOKUP(Sim[[#This Row],[Product ID]],Demand!$A$2:$A$101,Demand!$AD$2:$AG$101)),0)</f>
        <v>0</v>
      </c>
      <c r="P102" s="47">
        <f>Sim[[#This Row],[SigmaMonthly]]/SQRT(30)</f>
        <v>0</v>
      </c>
      <c r="Q102" s="44">
        <f>_xlfn.NORM.S.INV(_xlfn.XLOOKUP(Sim[[#This Row],[Class]],ServiceTbl[Class],ServiceTbl[Level]))</f>
        <v>1.2815515655446006</v>
      </c>
      <c r="R102" s="48">
        <f>ROUNDUP(Sim[[#This Row],[Z]]*Sim[[#This Row],[SigmaDaily]]*SQRT(Sim[[#This Row],[LT]]),0)</f>
        <v>0</v>
      </c>
      <c r="S102" s="48">
        <f>ROUNDUP(Sim[[#This Row],[Avg daily demand]]*Sim[[#This Row],[LT]]+Sim[[#This Row],[SS]],0)</f>
        <v>0</v>
      </c>
      <c r="T102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102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102" s="47"/>
    </row>
    <row r="103" spans="1:22" x14ac:dyDescent="0.2">
      <c r="A103" s="46">
        <v>60</v>
      </c>
      <c r="B103" s="40" t="s">
        <v>101</v>
      </c>
      <c r="C103" s="56">
        <v>0</v>
      </c>
      <c r="D103" s="56">
        <v>2</v>
      </c>
      <c r="E103" s="47">
        <v>0</v>
      </c>
      <c r="F103" s="48">
        <v>131</v>
      </c>
      <c r="G103" s="48">
        <f>Sim[[#This Row],[Avg daily demand]]*Sim[[#This Row],[Seed days]]</f>
        <v>0</v>
      </c>
      <c r="H103" s="49">
        <f>Sim[[#This Row],[Seed on-hand]]-Sim[[#This Row],[Sept units]]</f>
        <v>-2</v>
      </c>
      <c r="I103" s="44">
        <f>Sim[[#This Row],[Sept units]]/30</f>
        <v>6.6666666666666666E-2</v>
      </c>
      <c r="J103" s="40" t="str">
        <f>IF(AND(Sim[[#This Row],[History units]]=0,Sim[[#This Row],[Sept units]]=0),"Inactive",IF(Sim[[#This Row],[History units]]=0,"New - no history",IF(Sim[[#This Row],[Sept units]]=0,"No recent demand",IF(Sim[[#This Row],[Ending on-hand]]&lt;0,"Shortage risk","Normal"))))</f>
        <v>New - no history</v>
      </c>
      <c r="K103" s="47">
        <f>IFERROR(Sim[[#This Row],[Ending on-hand]]/Sim[[#This Row],[Sept daily rate]],0)</f>
        <v>-30</v>
      </c>
      <c r="L103" s="50" t="str">
        <f>_xlfn.XLOOKUP(Sim[[#This Row],[Product ID]],Table3[Product ID],Table3[Rev class],,0)</f>
        <v>C</v>
      </c>
      <c r="M103" s="47">
        <v>2.5</v>
      </c>
      <c r="N103" s="43">
        <v>999.98999019999997</v>
      </c>
      <c r="O103" s="47">
        <f>IFERROR(_xlfn.STDEV.S(_xlfn.XLOOKUP(Sim[[#This Row],[Product ID]],Demand!$A$2:$A$101,Demand!$AD$2:$AG$101)),0)</f>
        <v>0</v>
      </c>
      <c r="P103" s="47">
        <f>Sim[[#This Row],[SigmaMonthly]]/SQRT(30)</f>
        <v>0</v>
      </c>
      <c r="Q103" s="44">
        <f>_xlfn.NORM.S.INV(_xlfn.XLOOKUP(Sim[[#This Row],[Class]],ServiceTbl[Class],ServiceTbl[Level]))</f>
        <v>1.2815515655446006</v>
      </c>
      <c r="R103" s="48">
        <f>ROUNDUP(Sim[[#This Row],[Z]]*Sim[[#This Row],[SigmaDaily]]*SQRT(Sim[[#This Row],[LT]]),0)</f>
        <v>0</v>
      </c>
      <c r="S103" s="48">
        <f>ROUNDUP(Sim[[#This Row],[Avg daily demand]]*Sim[[#This Row],[LT]]+Sim[[#This Row],[SS]],0)</f>
        <v>0</v>
      </c>
      <c r="T103" s="47" t="str">
        <f>IF(OR(Sim[[#This Row],[Status]]="Inactive",Sim[[#This Row],[Status]]="New - no history",Sim[[#This Row],[Status]]="No recent demand"),Sim[[#This Row],[Status]],IF(Sim[[#This Row],[Ending on-hand]]&lt;=Sim[[#This Row],[ROP]],"BELOW-ROP",IF(Sim[[#This Row],[Days of supply]]&gt;ExcessDays,IF(Sim[[#This Row],[Sept units]]&gt;=MinVolume,"EXCESS","SLOW-MOVING"),"OK")))</f>
        <v>New - no history</v>
      </c>
      <c r="U103" s="55">
        <f>IF(Sim[[#This Row],[Flag]]="No recent demand",Sim[[#This Row],[Ending on-hand]]*Sim[[#This Row],[Unit price]],IF(OR(Sim[[#This Row],[Flag]]="EXCESS",Sim[[#This Row],[Flag]]="SLOW-MOVING"),(Sim[[#This Row],[Ending on-hand]]-ExcessDays*Sim[[#This Row],[Sept daily rate]])*Sim[[#This Row],[Unit price]],0))</f>
        <v>0</v>
      </c>
      <c r="V103" s="47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5C06-DF02-6146-9691-77FC32543225}">
  <dimension ref="A1:AH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1" sqref="G21"/>
    </sheetView>
  </sheetViews>
  <sheetFormatPr baseColWidth="10" defaultRowHeight="16" x14ac:dyDescent="0.2"/>
  <cols>
    <col min="1" max="1" width="9.5703125" style="46" customWidth="1"/>
    <col min="2" max="34" width="9.5703125" style="40" customWidth="1"/>
    <col min="35" max="16384" width="10.7109375" style="40"/>
  </cols>
  <sheetData>
    <row r="1" spans="1:34" s="60" customFormat="1" x14ac:dyDescent="0.2">
      <c r="A1" s="51" t="s">
        <v>361</v>
      </c>
      <c r="B1" s="61">
        <v>42005</v>
      </c>
      <c r="C1" s="60" t="s">
        <v>221</v>
      </c>
      <c r="D1" s="60" t="s">
        <v>222</v>
      </c>
      <c r="E1" s="60" t="s">
        <v>223</v>
      </c>
      <c r="F1" s="60" t="s">
        <v>224</v>
      </c>
      <c r="G1" s="60" t="s">
        <v>225</v>
      </c>
      <c r="H1" s="60" t="s">
        <v>226</v>
      </c>
      <c r="I1" s="60" t="s">
        <v>227</v>
      </c>
      <c r="J1" s="60" t="s">
        <v>228</v>
      </c>
      <c r="K1" s="60" t="s">
        <v>229</v>
      </c>
      <c r="L1" s="60" t="s">
        <v>230</v>
      </c>
      <c r="M1" s="60" t="s">
        <v>231</v>
      </c>
      <c r="N1" s="61">
        <v>42370</v>
      </c>
      <c r="O1" s="60" t="s">
        <v>221</v>
      </c>
      <c r="P1" s="60" t="s">
        <v>222</v>
      </c>
      <c r="Q1" s="60" t="s">
        <v>223</v>
      </c>
      <c r="R1" s="60" t="s">
        <v>224</v>
      </c>
      <c r="S1" s="60" t="s">
        <v>225</v>
      </c>
      <c r="T1" s="60" t="s">
        <v>226</v>
      </c>
      <c r="U1" s="60" t="s">
        <v>227</v>
      </c>
      <c r="V1" s="60" t="s">
        <v>228</v>
      </c>
      <c r="W1" s="60" t="s">
        <v>229</v>
      </c>
      <c r="X1" s="60" t="s">
        <v>230</v>
      </c>
      <c r="Y1" s="60" t="s">
        <v>231</v>
      </c>
      <c r="Z1" s="61">
        <v>42736</v>
      </c>
      <c r="AA1" s="60" t="s">
        <v>221</v>
      </c>
      <c r="AB1" s="60" t="s">
        <v>222</v>
      </c>
      <c r="AC1" s="60" t="s">
        <v>223</v>
      </c>
      <c r="AD1" s="60" t="s">
        <v>224</v>
      </c>
      <c r="AE1" s="60" t="s">
        <v>225</v>
      </c>
      <c r="AF1" s="60" t="s">
        <v>226</v>
      </c>
      <c r="AG1" s="60" t="s">
        <v>227</v>
      </c>
      <c r="AH1" s="60" t="s">
        <v>228</v>
      </c>
    </row>
    <row r="2" spans="1:34" x14ac:dyDescent="0.2">
      <c r="A2" s="46">
        <v>19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0">
        <v>0</v>
      </c>
      <c r="H2" s="40">
        <v>0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40">
        <v>0</v>
      </c>
      <c r="S2" s="40">
        <v>0</v>
      </c>
      <c r="T2" s="40">
        <v>0</v>
      </c>
      <c r="U2" s="40">
        <v>0</v>
      </c>
      <c r="V2" s="40">
        <v>0</v>
      </c>
      <c r="W2" s="40">
        <v>0</v>
      </c>
      <c r="X2" s="40">
        <v>0</v>
      </c>
      <c r="Y2" s="40">
        <v>0</v>
      </c>
      <c r="Z2" s="40">
        <v>0</v>
      </c>
      <c r="AA2" s="40">
        <v>0</v>
      </c>
      <c r="AB2" s="40">
        <v>0</v>
      </c>
      <c r="AC2" s="40">
        <v>2</v>
      </c>
      <c r="AD2" s="40">
        <v>13</v>
      </c>
      <c r="AE2" s="40">
        <v>13</v>
      </c>
      <c r="AF2" s="40">
        <v>14</v>
      </c>
      <c r="AG2" s="40">
        <v>17</v>
      </c>
      <c r="AH2" s="40">
        <v>4</v>
      </c>
    </row>
    <row r="3" spans="1:34" x14ac:dyDescent="0.2">
      <c r="A3" s="46">
        <v>24</v>
      </c>
      <c r="B3" s="40">
        <v>0</v>
      </c>
      <c r="C3" s="40">
        <v>0</v>
      </c>
      <c r="D3" s="40">
        <v>0</v>
      </c>
      <c r="E3" s="40">
        <v>0</v>
      </c>
      <c r="F3" s="40">
        <v>0</v>
      </c>
      <c r="G3" s="40">
        <v>0</v>
      </c>
      <c r="H3" s="40">
        <v>0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12</v>
      </c>
      <c r="AD3" s="40">
        <v>70</v>
      </c>
      <c r="AE3" s="40">
        <v>52</v>
      </c>
      <c r="AF3" s="40">
        <v>45</v>
      </c>
      <c r="AG3" s="40">
        <v>42</v>
      </c>
      <c r="AH3" s="40">
        <v>9</v>
      </c>
    </row>
    <row r="4" spans="1:34" x14ac:dyDescent="0.2">
      <c r="A4" s="46">
        <v>35</v>
      </c>
      <c r="B4" s="40">
        <v>0</v>
      </c>
      <c r="C4" s="40">
        <v>0</v>
      </c>
      <c r="D4" s="40">
        <v>0</v>
      </c>
      <c r="E4" s="40">
        <v>0</v>
      </c>
      <c r="F4" s="40">
        <v>0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0">
        <v>0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4</v>
      </c>
      <c r="AD4" s="40">
        <v>15</v>
      </c>
      <c r="AE4" s="40">
        <v>11</v>
      </c>
      <c r="AF4" s="40">
        <v>14</v>
      </c>
      <c r="AG4" s="40">
        <v>13</v>
      </c>
      <c r="AH4" s="40">
        <v>5</v>
      </c>
    </row>
    <row r="5" spans="1:34" x14ac:dyDescent="0.2">
      <c r="A5" s="46">
        <v>37</v>
      </c>
      <c r="B5" s="40">
        <v>18</v>
      </c>
      <c r="C5" s="40">
        <v>20</v>
      </c>
      <c r="D5" s="40">
        <v>13</v>
      </c>
      <c r="E5" s="40">
        <v>29</v>
      </c>
      <c r="F5" s="40">
        <v>25</v>
      </c>
      <c r="G5" s="40">
        <v>11</v>
      </c>
      <c r="H5" s="40">
        <v>30</v>
      </c>
      <c r="I5" s="40">
        <v>20</v>
      </c>
      <c r="J5" s="40">
        <v>31</v>
      </c>
      <c r="K5" s="40">
        <v>8</v>
      </c>
      <c r="L5" s="40">
        <v>44</v>
      </c>
      <c r="M5" s="40">
        <v>39</v>
      </c>
      <c r="N5" s="40">
        <v>19</v>
      </c>
      <c r="O5" s="40">
        <v>32</v>
      </c>
      <c r="P5" s="40">
        <v>24</v>
      </c>
      <c r="Q5" s="40">
        <v>38</v>
      </c>
      <c r="R5" s="40">
        <v>24</v>
      </c>
      <c r="S5" s="40">
        <v>19</v>
      </c>
      <c r="T5" s="40">
        <v>52</v>
      </c>
      <c r="U5" s="40">
        <v>20</v>
      </c>
      <c r="V5" s="40">
        <v>15</v>
      </c>
      <c r="W5" s="40">
        <v>27</v>
      </c>
      <c r="X5" s="40">
        <v>34</v>
      </c>
      <c r="Y5" s="40">
        <v>24</v>
      </c>
      <c r="Z5" s="40">
        <v>34</v>
      </c>
      <c r="AA5" s="40">
        <v>28</v>
      </c>
      <c r="AB5" s="40">
        <v>48</v>
      </c>
      <c r="AC5" s="40">
        <v>14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</row>
    <row r="6" spans="1:34" x14ac:dyDescent="0.2">
      <c r="A6" s="46">
        <v>44</v>
      </c>
      <c r="B6" s="40">
        <v>50</v>
      </c>
      <c r="C6" s="40">
        <v>23</v>
      </c>
      <c r="D6" s="40">
        <v>52</v>
      </c>
      <c r="E6" s="40">
        <v>34</v>
      </c>
      <c r="F6" s="40">
        <v>30</v>
      </c>
      <c r="G6" s="40">
        <v>33</v>
      </c>
      <c r="H6" s="40">
        <v>40</v>
      </c>
      <c r="I6" s="40">
        <v>21</v>
      </c>
      <c r="J6" s="40">
        <v>39</v>
      </c>
      <c r="K6" s="40">
        <v>31</v>
      </c>
      <c r="L6" s="40">
        <v>8</v>
      </c>
      <c r="M6" s="40">
        <v>37</v>
      </c>
      <c r="N6" s="40">
        <v>19</v>
      </c>
      <c r="O6" s="40">
        <v>36</v>
      </c>
      <c r="P6" s="40">
        <v>35</v>
      </c>
      <c r="Q6" s="40">
        <v>40</v>
      </c>
      <c r="R6" s="40">
        <v>45</v>
      </c>
      <c r="S6" s="40">
        <v>11</v>
      </c>
      <c r="T6" s="40">
        <v>51</v>
      </c>
      <c r="U6" s="40">
        <v>20</v>
      </c>
      <c r="V6" s="40">
        <v>45</v>
      </c>
      <c r="W6" s="40">
        <v>33</v>
      </c>
      <c r="X6" s="40">
        <v>25</v>
      </c>
      <c r="Y6" s="40">
        <v>35</v>
      </c>
      <c r="Z6" s="40">
        <v>30</v>
      </c>
      <c r="AA6" s="40">
        <v>17</v>
      </c>
      <c r="AB6" s="40">
        <v>36</v>
      </c>
      <c r="AC6" s="40">
        <v>36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</row>
    <row r="7" spans="1:34" x14ac:dyDescent="0.2">
      <c r="A7" s="46">
        <v>58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28</v>
      </c>
    </row>
    <row r="8" spans="1:34" x14ac:dyDescent="0.2">
      <c r="A8" s="46">
        <v>60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2</v>
      </c>
    </row>
    <row r="9" spans="1:34" x14ac:dyDescent="0.2">
      <c r="A9" s="46">
        <v>61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26</v>
      </c>
    </row>
    <row r="10" spans="1:34" x14ac:dyDescent="0.2">
      <c r="A10" s="46">
        <v>78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10</v>
      </c>
      <c r="AD10" s="40">
        <v>42</v>
      </c>
      <c r="AE10" s="40">
        <v>43</v>
      </c>
      <c r="AF10" s="40">
        <v>37</v>
      </c>
      <c r="AG10" s="40">
        <v>33</v>
      </c>
      <c r="AH10" s="40">
        <v>16</v>
      </c>
    </row>
    <row r="11" spans="1:34" x14ac:dyDescent="0.2">
      <c r="A11" s="46">
        <v>93</v>
      </c>
      <c r="B11" s="40">
        <v>31</v>
      </c>
      <c r="C11" s="40">
        <v>20</v>
      </c>
      <c r="D11" s="40">
        <v>28</v>
      </c>
      <c r="E11" s="40">
        <v>24</v>
      </c>
      <c r="F11" s="40">
        <v>48</v>
      </c>
      <c r="G11" s="40">
        <v>19</v>
      </c>
      <c r="H11" s="40">
        <v>36</v>
      </c>
      <c r="I11" s="40">
        <v>31</v>
      </c>
      <c r="J11" s="40">
        <v>19</v>
      </c>
      <c r="K11" s="40">
        <v>29</v>
      </c>
      <c r="L11" s="40">
        <v>14</v>
      </c>
      <c r="M11" s="40">
        <v>29</v>
      </c>
      <c r="N11" s="40">
        <v>18</v>
      </c>
      <c r="O11" s="40">
        <v>26</v>
      </c>
      <c r="P11" s="40">
        <v>31</v>
      </c>
      <c r="Q11" s="40">
        <v>32</v>
      </c>
      <c r="R11" s="40">
        <v>21</v>
      </c>
      <c r="S11" s="40">
        <v>34</v>
      </c>
      <c r="T11" s="40">
        <v>25</v>
      </c>
      <c r="U11" s="40">
        <v>16</v>
      </c>
      <c r="V11" s="40">
        <v>23</v>
      </c>
      <c r="W11" s="40">
        <v>23</v>
      </c>
      <c r="X11" s="40">
        <v>38</v>
      </c>
      <c r="Y11" s="40">
        <v>48</v>
      </c>
      <c r="Z11" s="40">
        <v>44</v>
      </c>
      <c r="AA11" s="40">
        <v>41</v>
      </c>
      <c r="AB11" s="40">
        <v>35</v>
      </c>
      <c r="AC11" s="40">
        <v>14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</row>
    <row r="12" spans="1:34" x14ac:dyDescent="0.2">
      <c r="A12" s="46">
        <v>116</v>
      </c>
      <c r="B12" s="40">
        <v>44</v>
      </c>
      <c r="C12" s="40">
        <v>28</v>
      </c>
      <c r="D12" s="40">
        <v>43</v>
      </c>
      <c r="E12" s="40">
        <v>24</v>
      </c>
      <c r="F12" s="40">
        <v>20</v>
      </c>
      <c r="G12" s="40">
        <v>26</v>
      </c>
      <c r="H12" s="40">
        <v>47</v>
      </c>
      <c r="I12" s="40">
        <v>39</v>
      </c>
      <c r="J12" s="40">
        <v>38</v>
      </c>
      <c r="K12" s="40">
        <v>26</v>
      </c>
      <c r="L12" s="40">
        <v>35</v>
      </c>
      <c r="M12" s="40">
        <v>36</v>
      </c>
      <c r="N12" s="40">
        <v>26</v>
      </c>
      <c r="O12" s="40">
        <v>21</v>
      </c>
      <c r="P12" s="40">
        <v>37</v>
      </c>
      <c r="Q12" s="40">
        <v>63</v>
      </c>
      <c r="R12" s="40">
        <v>30</v>
      </c>
      <c r="S12" s="40">
        <v>35</v>
      </c>
      <c r="T12" s="40">
        <v>40</v>
      </c>
      <c r="U12" s="40">
        <v>27</v>
      </c>
      <c r="V12" s="40">
        <v>40</v>
      </c>
      <c r="W12" s="40">
        <v>21</v>
      </c>
      <c r="X12" s="40">
        <v>29</v>
      </c>
      <c r="Y12" s="40">
        <v>42</v>
      </c>
      <c r="Z12" s="40">
        <v>41</v>
      </c>
      <c r="AA12" s="40">
        <v>43</v>
      </c>
      <c r="AB12" s="40">
        <v>30</v>
      </c>
      <c r="AC12" s="40">
        <v>23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x14ac:dyDescent="0.2">
      <c r="A13" s="46">
        <v>127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25</v>
      </c>
    </row>
    <row r="14" spans="1:34" x14ac:dyDescent="0.2">
      <c r="A14" s="46">
        <v>134</v>
      </c>
      <c r="B14" s="40">
        <v>40</v>
      </c>
      <c r="C14" s="40">
        <v>9</v>
      </c>
      <c r="D14" s="40">
        <v>20</v>
      </c>
      <c r="E14" s="40">
        <v>29</v>
      </c>
      <c r="F14" s="40">
        <v>36</v>
      </c>
      <c r="G14" s="40">
        <v>29</v>
      </c>
      <c r="H14" s="40">
        <v>33</v>
      </c>
      <c r="I14" s="40">
        <v>31</v>
      </c>
      <c r="J14" s="40">
        <v>32</v>
      </c>
      <c r="K14" s="40">
        <v>32</v>
      </c>
      <c r="L14" s="40">
        <v>22</v>
      </c>
      <c r="M14" s="40">
        <v>41</v>
      </c>
      <c r="N14" s="40">
        <v>31</v>
      </c>
      <c r="O14" s="40">
        <v>9</v>
      </c>
      <c r="P14" s="40">
        <v>35</v>
      </c>
      <c r="Q14" s="40">
        <v>24</v>
      </c>
      <c r="R14" s="40">
        <v>20</v>
      </c>
      <c r="S14" s="40">
        <v>34</v>
      </c>
      <c r="T14" s="40">
        <v>39</v>
      </c>
      <c r="U14" s="40">
        <v>38</v>
      </c>
      <c r="V14" s="40">
        <v>39</v>
      </c>
      <c r="W14" s="40">
        <v>16</v>
      </c>
      <c r="X14" s="40">
        <v>32</v>
      </c>
      <c r="Y14" s="40">
        <v>17</v>
      </c>
      <c r="Z14" s="40">
        <v>16</v>
      </c>
      <c r="AA14" s="40">
        <v>31</v>
      </c>
      <c r="AB14" s="40">
        <v>16</v>
      </c>
      <c r="AC14" s="40">
        <v>17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x14ac:dyDescent="0.2">
      <c r="A15" s="46">
        <v>135</v>
      </c>
      <c r="B15" s="40">
        <v>28</v>
      </c>
      <c r="C15" s="40">
        <v>61</v>
      </c>
      <c r="D15" s="40">
        <v>20</v>
      </c>
      <c r="E15" s="40">
        <v>16</v>
      </c>
      <c r="F15" s="40">
        <v>41</v>
      </c>
      <c r="G15" s="40">
        <v>39</v>
      </c>
      <c r="H15" s="40">
        <v>18</v>
      </c>
      <c r="I15" s="40">
        <v>48</v>
      </c>
      <c r="J15" s="40">
        <v>29</v>
      </c>
      <c r="K15" s="40">
        <v>34</v>
      </c>
      <c r="L15" s="40">
        <v>32</v>
      </c>
      <c r="M15" s="40">
        <v>40</v>
      </c>
      <c r="N15" s="40">
        <v>49</v>
      </c>
      <c r="O15" s="40">
        <v>25</v>
      </c>
      <c r="P15" s="40">
        <v>19</v>
      </c>
      <c r="Q15" s="40">
        <v>14</v>
      </c>
      <c r="R15" s="40">
        <v>40</v>
      </c>
      <c r="S15" s="40">
        <v>30</v>
      </c>
      <c r="T15" s="40">
        <v>27</v>
      </c>
      <c r="U15" s="40">
        <v>33</v>
      </c>
      <c r="V15" s="40">
        <v>15</v>
      </c>
      <c r="W15" s="40">
        <v>28</v>
      </c>
      <c r="X15" s="40">
        <v>30</v>
      </c>
      <c r="Y15" s="40">
        <v>39</v>
      </c>
      <c r="Z15" s="40">
        <v>17</v>
      </c>
      <c r="AA15" s="40">
        <v>30</v>
      </c>
      <c r="AB15" s="40">
        <v>36</v>
      </c>
      <c r="AC15" s="40">
        <v>10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x14ac:dyDescent="0.2">
      <c r="A16" s="46">
        <v>172</v>
      </c>
      <c r="B16" s="40">
        <v>50</v>
      </c>
      <c r="C16" s="40">
        <v>28</v>
      </c>
      <c r="D16" s="40">
        <v>25</v>
      </c>
      <c r="E16" s="40">
        <v>33</v>
      </c>
      <c r="F16" s="40">
        <v>36</v>
      </c>
      <c r="G16" s="40">
        <v>30</v>
      </c>
      <c r="H16" s="40">
        <v>37</v>
      </c>
      <c r="I16" s="40">
        <v>31</v>
      </c>
      <c r="J16" s="40">
        <v>35</v>
      </c>
      <c r="K16" s="40">
        <v>34</v>
      </c>
      <c r="L16" s="40">
        <v>14</v>
      </c>
      <c r="M16" s="40">
        <v>24</v>
      </c>
      <c r="N16" s="40">
        <v>30</v>
      </c>
      <c r="O16" s="40">
        <v>37</v>
      </c>
      <c r="P16" s="40">
        <v>26</v>
      </c>
      <c r="Q16" s="40">
        <v>18</v>
      </c>
      <c r="R16" s="40">
        <v>24</v>
      </c>
      <c r="S16" s="40">
        <v>31</v>
      </c>
      <c r="T16" s="40">
        <v>25</v>
      </c>
      <c r="U16" s="40">
        <v>28</v>
      </c>
      <c r="V16" s="40">
        <v>18</v>
      </c>
      <c r="W16" s="40">
        <v>62</v>
      </c>
      <c r="X16" s="40">
        <v>23</v>
      </c>
      <c r="Y16" s="40">
        <v>26</v>
      </c>
      <c r="Z16" s="40">
        <v>42</v>
      </c>
      <c r="AA16" s="40">
        <v>12</v>
      </c>
      <c r="AB16" s="40">
        <v>58</v>
      </c>
      <c r="AC16" s="40">
        <v>21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</row>
    <row r="17" spans="1:34" x14ac:dyDescent="0.2">
      <c r="A17" s="46">
        <v>191</v>
      </c>
      <c r="B17" s="40">
        <v>1104</v>
      </c>
      <c r="C17" s="40">
        <v>894</v>
      </c>
      <c r="D17" s="40">
        <v>1076</v>
      </c>
      <c r="E17" s="40">
        <v>990</v>
      </c>
      <c r="F17" s="40">
        <v>1298</v>
      </c>
      <c r="G17" s="40">
        <v>1177</v>
      </c>
      <c r="H17" s="40">
        <v>1039</v>
      </c>
      <c r="I17" s="40">
        <v>1082</v>
      </c>
      <c r="J17" s="40">
        <v>1052</v>
      </c>
      <c r="K17" s="40">
        <v>1171</v>
      </c>
      <c r="L17" s="40">
        <v>1054</v>
      </c>
      <c r="M17" s="40">
        <v>1070</v>
      </c>
      <c r="N17" s="40">
        <v>1134</v>
      </c>
      <c r="O17" s="40">
        <v>958</v>
      </c>
      <c r="P17" s="40">
        <v>1016</v>
      </c>
      <c r="Q17" s="40">
        <v>1028</v>
      </c>
      <c r="R17" s="40">
        <v>894</v>
      </c>
      <c r="S17" s="40">
        <v>1004</v>
      </c>
      <c r="T17" s="40">
        <v>1048</v>
      </c>
      <c r="U17" s="40">
        <v>1104</v>
      </c>
      <c r="V17" s="40">
        <v>990</v>
      </c>
      <c r="W17" s="40">
        <v>984</v>
      </c>
      <c r="X17" s="40">
        <v>1127</v>
      </c>
      <c r="Y17" s="40">
        <v>1127</v>
      </c>
      <c r="Z17" s="40">
        <v>1170</v>
      </c>
      <c r="AA17" s="40">
        <v>1184</v>
      </c>
      <c r="AB17" s="40">
        <v>999</v>
      </c>
      <c r="AC17" s="40">
        <v>1066</v>
      </c>
      <c r="AD17" s="40">
        <v>1002</v>
      </c>
      <c r="AE17" s="40">
        <v>941</v>
      </c>
      <c r="AF17" s="40">
        <v>1085</v>
      </c>
      <c r="AG17" s="40">
        <v>1097</v>
      </c>
      <c r="AH17" s="40">
        <v>1050</v>
      </c>
    </row>
    <row r="18" spans="1:34" x14ac:dyDescent="0.2">
      <c r="A18" s="46">
        <v>203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32</v>
      </c>
    </row>
    <row r="19" spans="1:34" x14ac:dyDescent="0.2">
      <c r="A19" s="46">
        <v>208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6</v>
      </c>
    </row>
    <row r="20" spans="1:34" x14ac:dyDescent="0.2">
      <c r="A20" s="46">
        <v>216</v>
      </c>
      <c r="B20" s="40">
        <v>0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4</v>
      </c>
      <c r="AD20" s="40">
        <v>7</v>
      </c>
      <c r="AE20" s="40">
        <v>13</v>
      </c>
      <c r="AF20" s="40">
        <v>14</v>
      </c>
      <c r="AG20" s="40">
        <v>21</v>
      </c>
      <c r="AH20" s="40">
        <v>3</v>
      </c>
    </row>
    <row r="21" spans="1:34" x14ac:dyDescent="0.2">
      <c r="A21" s="46">
        <v>226</v>
      </c>
      <c r="B21" s="40">
        <v>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7</v>
      </c>
    </row>
    <row r="22" spans="1:34" x14ac:dyDescent="0.2">
      <c r="A22" s="46">
        <v>235</v>
      </c>
      <c r="B22" s="40">
        <v>34</v>
      </c>
      <c r="C22" s="40">
        <v>13</v>
      </c>
      <c r="D22" s="40">
        <v>18</v>
      </c>
      <c r="E22" s="40">
        <v>66</v>
      </c>
      <c r="F22" s="40">
        <v>27</v>
      </c>
      <c r="G22" s="40">
        <v>37</v>
      </c>
      <c r="H22" s="40">
        <v>23</v>
      </c>
      <c r="I22" s="40">
        <v>31</v>
      </c>
      <c r="J22" s="40">
        <v>29</v>
      </c>
      <c r="K22" s="40">
        <v>46</v>
      </c>
      <c r="L22" s="40">
        <v>37</v>
      </c>
      <c r="M22" s="40">
        <v>26</v>
      </c>
      <c r="N22" s="40">
        <v>27</v>
      </c>
      <c r="O22" s="40">
        <v>16</v>
      </c>
      <c r="P22" s="40">
        <v>20</v>
      </c>
      <c r="Q22" s="40">
        <v>30</v>
      </c>
      <c r="R22" s="40">
        <v>42</v>
      </c>
      <c r="S22" s="40">
        <v>16</v>
      </c>
      <c r="T22" s="40">
        <v>27</v>
      </c>
      <c r="U22" s="40">
        <v>41</v>
      </c>
      <c r="V22" s="40">
        <v>25</v>
      </c>
      <c r="W22" s="40">
        <v>20</v>
      </c>
      <c r="X22" s="40">
        <v>25</v>
      </c>
      <c r="Y22" s="40">
        <v>38</v>
      </c>
      <c r="Z22" s="40">
        <v>29</v>
      </c>
      <c r="AA22" s="40">
        <v>24</v>
      </c>
      <c r="AB22" s="40">
        <v>39</v>
      </c>
      <c r="AC22" s="40">
        <v>8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</row>
    <row r="23" spans="1:34" x14ac:dyDescent="0.2">
      <c r="A23" s="46">
        <v>249</v>
      </c>
      <c r="B23" s="40">
        <v>24</v>
      </c>
      <c r="C23" s="40">
        <v>9</v>
      </c>
      <c r="D23" s="40">
        <v>37</v>
      </c>
      <c r="E23" s="40">
        <v>35</v>
      </c>
      <c r="F23" s="40">
        <v>32</v>
      </c>
      <c r="G23" s="40">
        <v>22</v>
      </c>
      <c r="H23" s="40">
        <v>13</v>
      </c>
      <c r="I23" s="40">
        <v>15</v>
      </c>
      <c r="J23" s="40">
        <v>31</v>
      </c>
      <c r="K23" s="40">
        <v>34</v>
      </c>
      <c r="L23" s="40">
        <v>26</v>
      </c>
      <c r="M23" s="40">
        <v>32</v>
      </c>
      <c r="N23" s="40">
        <v>28</v>
      </c>
      <c r="O23" s="40">
        <v>29</v>
      </c>
      <c r="P23" s="40">
        <v>20</v>
      </c>
      <c r="Q23" s="40">
        <v>14</v>
      </c>
      <c r="R23" s="40">
        <v>37</v>
      </c>
      <c r="S23" s="40">
        <v>25</v>
      </c>
      <c r="T23" s="40">
        <v>37</v>
      </c>
      <c r="U23" s="40">
        <v>43</v>
      </c>
      <c r="V23" s="40">
        <v>25</v>
      </c>
      <c r="W23" s="40">
        <v>37</v>
      </c>
      <c r="X23" s="40">
        <v>61</v>
      </c>
      <c r="Y23" s="40">
        <v>28</v>
      </c>
      <c r="Z23" s="40">
        <v>27</v>
      </c>
      <c r="AA23" s="40">
        <v>29</v>
      </c>
      <c r="AB23" s="40">
        <v>28</v>
      </c>
      <c r="AC23" s="40">
        <v>26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</row>
    <row r="24" spans="1:34" x14ac:dyDescent="0.2">
      <c r="A24" s="46">
        <v>251</v>
      </c>
      <c r="B24" s="40">
        <v>0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13</v>
      </c>
      <c r="AD24" s="40">
        <v>43</v>
      </c>
      <c r="AE24" s="40">
        <v>55</v>
      </c>
      <c r="AF24" s="40">
        <v>33</v>
      </c>
      <c r="AG24" s="40">
        <v>45</v>
      </c>
      <c r="AH24" s="40">
        <v>18</v>
      </c>
    </row>
    <row r="25" spans="1:34" x14ac:dyDescent="0.2">
      <c r="A25" s="46">
        <v>258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10</v>
      </c>
      <c r="AD25" s="40">
        <v>26</v>
      </c>
      <c r="AE25" s="40">
        <v>35</v>
      </c>
      <c r="AF25" s="40">
        <v>42</v>
      </c>
      <c r="AG25" s="40">
        <v>57</v>
      </c>
      <c r="AH25" s="40">
        <v>29</v>
      </c>
    </row>
    <row r="26" spans="1:34" x14ac:dyDescent="0.2">
      <c r="A26" s="46">
        <v>273</v>
      </c>
      <c r="B26" s="40">
        <v>20</v>
      </c>
      <c r="C26" s="40">
        <v>29</v>
      </c>
      <c r="D26" s="40">
        <v>41</v>
      </c>
      <c r="E26" s="40">
        <v>22</v>
      </c>
      <c r="F26" s="40">
        <v>50</v>
      </c>
      <c r="G26" s="40">
        <v>30</v>
      </c>
      <c r="H26" s="40">
        <v>29</v>
      </c>
      <c r="I26" s="40">
        <v>25</v>
      </c>
      <c r="J26" s="40">
        <v>25</v>
      </c>
      <c r="K26" s="40">
        <v>31</v>
      </c>
      <c r="L26" s="40">
        <v>23</v>
      </c>
      <c r="M26" s="40">
        <v>24</v>
      </c>
      <c r="N26" s="40">
        <v>29</v>
      </c>
      <c r="O26" s="40">
        <v>39</v>
      </c>
      <c r="P26" s="40">
        <v>31</v>
      </c>
      <c r="Q26" s="40">
        <v>25</v>
      </c>
      <c r="R26" s="40">
        <v>51</v>
      </c>
      <c r="S26" s="40">
        <v>17</v>
      </c>
      <c r="T26" s="40">
        <v>14</v>
      </c>
      <c r="U26" s="40">
        <v>11</v>
      </c>
      <c r="V26" s="40">
        <v>31</v>
      </c>
      <c r="W26" s="40">
        <v>19</v>
      </c>
      <c r="X26" s="40">
        <v>23</v>
      </c>
      <c r="Y26" s="40">
        <v>30</v>
      </c>
      <c r="Z26" s="40">
        <v>24</v>
      </c>
      <c r="AA26" s="40">
        <v>22</v>
      </c>
      <c r="AB26" s="40">
        <v>15</v>
      </c>
      <c r="AC26" s="40">
        <v>29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</row>
    <row r="27" spans="1:34" x14ac:dyDescent="0.2">
      <c r="A27" s="46">
        <v>276</v>
      </c>
      <c r="B27" s="40">
        <v>33</v>
      </c>
      <c r="C27" s="40">
        <v>24</v>
      </c>
      <c r="D27" s="40">
        <v>33</v>
      </c>
      <c r="E27" s="40">
        <v>20</v>
      </c>
      <c r="F27" s="40">
        <v>28</v>
      </c>
      <c r="G27" s="40">
        <v>17</v>
      </c>
      <c r="H27" s="40">
        <v>30</v>
      </c>
      <c r="I27" s="40">
        <v>54</v>
      </c>
      <c r="J27" s="40">
        <v>22</v>
      </c>
      <c r="K27" s="40">
        <v>16</v>
      </c>
      <c r="L27" s="40">
        <v>59</v>
      </c>
      <c r="M27" s="40">
        <v>60</v>
      </c>
      <c r="N27" s="40">
        <v>25</v>
      </c>
      <c r="O27" s="40">
        <v>36</v>
      </c>
      <c r="P27" s="40">
        <v>41</v>
      </c>
      <c r="Q27" s="40">
        <v>29</v>
      </c>
      <c r="R27" s="40">
        <v>21</v>
      </c>
      <c r="S27" s="40">
        <v>11</v>
      </c>
      <c r="T27" s="40">
        <v>29</v>
      </c>
      <c r="U27" s="40">
        <v>46</v>
      </c>
      <c r="V27" s="40">
        <v>42</v>
      </c>
      <c r="W27" s="40">
        <v>55</v>
      </c>
      <c r="X27" s="40">
        <v>27</v>
      </c>
      <c r="Y27" s="40">
        <v>29</v>
      </c>
      <c r="Z27" s="40">
        <v>9</v>
      </c>
      <c r="AA27" s="40">
        <v>18</v>
      </c>
      <c r="AB27" s="40">
        <v>34</v>
      </c>
      <c r="AC27" s="40">
        <v>21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</row>
    <row r="28" spans="1:34" x14ac:dyDescent="0.2">
      <c r="A28" s="46">
        <v>278</v>
      </c>
      <c r="B28" s="40">
        <v>23</v>
      </c>
      <c r="C28" s="40">
        <v>27</v>
      </c>
      <c r="D28" s="40">
        <v>32</v>
      </c>
      <c r="E28" s="40">
        <v>29</v>
      </c>
      <c r="F28" s="40">
        <v>31</v>
      </c>
      <c r="G28" s="40">
        <v>49</v>
      </c>
      <c r="H28" s="40">
        <v>41</v>
      </c>
      <c r="I28" s="40">
        <v>26</v>
      </c>
      <c r="J28" s="40">
        <v>30</v>
      </c>
      <c r="K28" s="40">
        <v>16</v>
      </c>
      <c r="L28" s="40">
        <v>31</v>
      </c>
      <c r="M28" s="40">
        <v>49</v>
      </c>
      <c r="N28" s="40">
        <v>31</v>
      </c>
      <c r="O28" s="40">
        <v>28</v>
      </c>
      <c r="P28" s="40">
        <v>17</v>
      </c>
      <c r="Q28" s="40">
        <v>21</v>
      </c>
      <c r="R28" s="40">
        <v>24</v>
      </c>
      <c r="S28" s="40">
        <v>29</v>
      </c>
      <c r="T28" s="40">
        <v>13</v>
      </c>
      <c r="U28" s="40">
        <v>20</v>
      </c>
      <c r="V28" s="40">
        <v>26</v>
      </c>
      <c r="W28" s="40">
        <v>33</v>
      </c>
      <c r="X28" s="40">
        <v>25</v>
      </c>
      <c r="Y28" s="40">
        <v>37</v>
      </c>
      <c r="Z28" s="40">
        <v>22</v>
      </c>
      <c r="AA28" s="40">
        <v>18</v>
      </c>
      <c r="AB28" s="40">
        <v>28</v>
      </c>
      <c r="AC28" s="40">
        <v>19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</row>
    <row r="29" spans="1:34" x14ac:dyDescent="0.2">
      <c r="A29" s="46">
        <v>282</v>
      </c>
      <c r="B29" s="40">
        <v>28</v>
      </c>
      <c r="C29" s="40">
        <v>33</v>
      </c>
      <c r="D29" s="40">
        <v>27</v>
      </c>
      <c r="E29" s="40">
        <v>25</v>
      </c>
      <c r="F29" s="40">
        <v>12</v>
      </c>
      <c r="G29" s="40">
        <v>27</v>
      </c>
      <c r="H29" s="40">
        <v>46</v>
      </c>
      <c r="I29" s="40">
        <v>39</v>
      </c>
      <c r="J29" s="40">
        <v>44</v>
      </c>
      <c r="K29" s="40">
        <v>39</v>
      </c>
      <c r="L29" s="40">
        <v>35</v>
      </c>
      <c r="M29" s="40">
        <v>24</v>
      </c>
      <c r="N29" s="40">
        <v>32</v>
      </c>
      <c r="O29" s="40">
        <v>23</v>
      </c>
      <c r="P29" s="40">
        <v>19</v>
      </c>
      <c r="Q29" s="40">
        <v>13</v>
      </c>
      <c r="R29" s="40">
        <v>26</v>
      </c>
      <c r="S29" s="40">
        <v>51</v>
      </c>
      <c r="T29" s="40">
        <v>44</v>
      </c>
      <c r="U29" s="40">
        <v>43</v>
      </c>
      <c r="V29" s="40">
        <v>26</v>
      </c>
      <c r="W29" s="40">
        <v>21</v>
      </c>
      <c r="X29" s="40">
        <v>17</v>
      </c>
      <c r="Y29" s="40">
        <v>32</v>
      </c>
      <c r="Z29" s="40">
        <v>20</v>
      </c>
      <c r="AA29" s="40">
        <v>28</v>
      </c>
      <c r="AB29" s="40">
        <v>16</v>
      </c>
      <c r="AC29" s="40">
        <v>23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</row>
    <row r="30" spans="1:34" x14ac:dyDescent="0.2">
      <c r="A30" s="46">
        <v>295</v>
      </c>
      <c r="B30" s="40">
        <v>0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8</v>
      </c>
      <c r="AD30" s="40">
        <v>33</v>
      </c>
      <c r="AE30" s="40">
        <v>30</v>
      </c>
      <c r="AF30" s="40">
        <v>40</v>
      </c>
      <c r="AG30" s="40">
        <v>50</v>
      </c>
      <c r="AH30" s="40">
        <v>18</v>
      </c>
    </row>
    <row r="31" spans="1:34" x14ac:dyDescent="0.2">
      <c r="A31" s="46">
        <v>303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33</v>
      </c>
    </row>
    <row r="32" spans="1:34" x14ac:dyDescent="0.2">
      <c r="A32" s="46">
        <v>305</v>
      </c>
      <c r="B32" s="40">
        <v>0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3</v>
      </c>
      <c r="AD32" s="40">
        <v>18</v>
      </c>
      <c r="AE32" s="40">
        <v>12</v>
      </c>
      <c r="AF32" s="40">
        <v>15</v>
      </c>
      <c r="AG32" s="40">
        <v>10</v>
      </c>
      <c r="AH32" s="40">
        <v>7</v>
      </c>
    </row>
    <row r="33" spans="1:34" x14ac:dyDescent="0.2">
      <c r="A33" s="46">
        <v>306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7</v>
      </c>
      <c r="AD33" s="40">
        <v>42</v>
      </c>
      <c r="AE33" s="40">
        <v>59</v>
      </c>
      <c r="AF33" s="40">
        <v>15</v>
      </c>
      <c r="AG33" s="40">
        <v>45</v>
      </c>
      <c r="AH33" s="40">
        <v>18</v>
      </c>
    </row>
    <row r="34" spans="1:34" x14ac:dyDescent="0.2">
      <c r="A34" s="46">
        <v>311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4</v>
      </c>
      <c r="AD34" s="40">
        <v>11</v>
      </c>
      <c r="AE34" s="40">
        <v>8</v>
      </c>
      <c r="AF34" s="40">
        <v>12</v>
      </c>
      <c r="AG34" s="40">
        <v>10</v>
      </c>
      <c r="AH34" s="40">
        <v>3</v>
      </c>
    </row>
    <row r="35" spans="1:34" x14ac:dyDescent="0.2">
      <c r="A35" s="46">
        <v>359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9</v>
      </c>
      <c r="AD35" s="40">
        <v>47</v>
      </c>
      <c r="AE35" s="40">
        <v>28</v>
      </c>
      <c r="AF35" s="40">
        <v>57</v>
      </c>
      <c r="AG35" s="40">
        <v>45</v>
      </c>
      <c r="AH35" s="40">
        <v>13</v>
      </c>
    </row>
    <row r="36" spans="1:34" x14ac:dyDescent="0.2">
      <c r="A36" s="46">
        <v>364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36</v>
      </c>
    </row>
    <row r="37" spans="1:34" x14ac:dyDescent="0.2">
      <c r="A37" s="46">
        <v>365</v>
      </c>
      <c r="B37" s="40">
        <v>2281</v>
      </c>
      <c r="C37" s="40">
        <v>1899</v>
      </c>
      <c r="D37" s="40">
        <v>2288</v>
      </c>
      <c r="E37" s="40">
        <v>2062</v>
      </c>
      <c r="F37" s="40">
        <v>2138</v>
      </c>
      <c r="G37" s="40">
        <v>2050</v>
      </c>
      <c r="H37" s="40">
        <v>2202</v>
      </c>
      <c r="I37" s="40">
        <v>2298</v>
      </c>
      <c r="J37" s="40">
        <v>2089</v>
      </c>
      <c r="K37" s="40">
        <v>2067</v>
      </c>
      <c r="L37" s="40">
        <v>2116</v>
      </c>
      <c r="M37" s="40">
        <v>2107</v>
      </c>
      <c r="N37" s="40">
        <v>2104</v>
      </c>
      <c r="O37" s="40">
        <v>1940</v>
      </c>
      <c r="P37" s="40">
        <v>2327</v>
      </c>
      <c r="Q37" s="40">
        <v>2099</v>
      </c>
      <c r="R37" s="40">
        <v>2332</v>
      </c>
      <c r="S37" s="40">
        <v>2110</v>
      </c>
      <c r="T37" s="40">
        <v>2101</v>
      </c>
      <c r="U37" s="40">
        <v>2262</v>
      </c>
      <c r="V37" s="40">
        <v>2168</v>
      </c>
      <c r="W37" s="40">
        <v>2188</v>
      </c>
      <c r="X37" s="40">
        <v>2156</v>
      </c>
      <c r="Y37" s="40">
        <v>2240</v>
      </c>
      <c r="Z37" s="40">
        <v>2164</v>
      </c>
      <c r="AA37" s="40">
        <v>2042</v>
      </c>
      <c r="AB37" s="40">
        <v>2144</v>
      </c>
      <c r="AC37" s="40">
        <v>2139</v>
      </c>
      <c r="AD37" s="40">
        <v>2147</v>
      </c>
      <c r="AE37" s="40">
        <v>1822</v>
      </c>
      <c r="AF37" s="40">
        <v>2199</v>
      </c>
      <c r="AG37" s="40">
        <v>2215</v>
      </c>
      <c r="AH37" s="40">
        <v>1959</v>
      </c>
    </row>
    <row r="38" spans="1:34" x14ac:dyDescent="0.2">
      <c r="A38" s="46">
        <v>403</v>
      </c>
      <c r="B38" s="40">
        <v>590</v>
      </c>
      <c r="C38" s="40">
        <v>602</v>
      </c>
      <c r="D38" s="40">
        <v>596</v>
      </c>
      <c r="E38" s="40">
        <v>635</v>
      </c>
      <c r="F38" s="40">
        <v>616</v>
      </c>
      <c r="G38" s="40">
        <v>633</v>
      </c>
      <c r="H38" s="40">
        <v>645</v>
      </c>
      <c r="I38" s="40">
        <v>659</v>
      </c>
      <c r="J38" s="40">
        <v>633</v>
      </c>
      <c r="K38" s="40">
        <v>659</v>
      </c>
      <c r="L38" s="40">
        <v>629</v>
      </c>
      <c r="M38" s="40">
        <v>700</v>
      </c>
      <c r="N38" s="40">
        <v>653</v>
      </c>
      <c r="O38" s="40">
        <v>614</v>
      </c>
      <c r="P38" s="40">
        <v>647</v>
      </c>
      <c r="Q38" s="40">
        <v>654</v>
      </c>
      <c r="R38" s="40">
        <v>633</v>
      </c>
      <c r="S38" s="40">
        <v>639</v>
      </c>
      <c r="T38" s="40">
        <v>642</v>
      </c>
      <c r="U38" s="40">
        <v>703</v>
      </c>
      <c r="V38" s="40">
        <v>660</v>
      </c>
      <c r="W38" s="40">
        <v>695</v>
      </c>
      <c r="X38" s="40">
        <v>619</v>
      </c>
      <c r="Y38" s="40">
        <v>664</v>
      </c>
      <c r="Z38" s="40">
        <v>636</v>
      </c>
      <c r="AA38" s="40">
        <v>540</v>
      </c>
      <c r="AB38" s="40">
        <v>696</v>
      </c>
      <c r="AC38" s="40">
        <v>633</v>
      </c>
      <c r="AD38" s="40">
        <v>701</v>
      </c>
      <c r="AE38" s="40">
        <v>652</v>
      </c>
      <c r="AF38" s="40">
        <v>674</v>
      </c>
      <c r="AG38" s="40">
        <v>650</v>
      </c>
      <c r="AH38" s="40">
        <v>631</v>
      </c>
    </row>
    <row r="39" spans="1:34" x14ac:dyDescent="0.2">
      <c r="A39" s="46">
        <v>502</v>
      </c>
      <c r="B39" s="40">
        <v>1769</v>
      </c>
      <c r="C39" s="40">
        <v>1696</v>
      </c>
      <c r="D39" s="40">
        <v>1916</v>
      </c>
      <c r="E39" s="40">
        <v>1842</v>
      </c>
      <c r="F39" s="40">
        <v>1830</v>
      </c>
      <c r="G39" s="40">
        <v>1692</v>
      </c>
      <c r="H39" s="40">
        <v>2096</v>
      </c>
      <c r="I39" s="40">
        <v>1812</v>
      </c>
      <c r="J39" s="40">
        <v>1783</v>
      </c>
      <c r="K39" s="40">
        <v>1890</v>
      </c>
      <c r="L39" s="40">
        <v>1697</v>
      </c>
      <c r="M39" s="40">
        <v>1794</v>
      </c>
      <c r="N39" s="40">
        <v>2014</v>
      </c>
      <c r="O39" s="40">
        <v>1656</v>
      </c>
      <c r="P39" s="40">
        <v>1780</v>
      </c>
      <c r="Q39" s="40">
        <v>1740</v>
      </c>
      <c r="R39" s="40">
        <v>1836</v>
      </c>
      <c r="S39" s="40">
        <v>1813</v>
      </c>
      <c r="T39" s="40">
        <v>1846</v>
      </c>
      <c r="U39" s="40">
        <v>2002</v>
      </c>
      <c r="V39" s="40">
        <v>1771</v>
      </c>
      <c r="W39" s="40">
        <v>1952</v>
      </c>
      <c r="X39" s="40">
        <v>1762</v>
      </c>
      <c r="Y39" s="40">
        <v>1769</v>
      </c>
      <c r="Z39" s="40">
        <v>1917</v>
      </c>
      <c r="AA39" s="40">
        <v>1837</v>
      </c>
      <c r="AB39" s="40">
        <v>1952</v>
      </c>
      <c r="AC39" s="40">
        <v>1643</v>
      </c>
      <c r="AD39" s="40">
        <v>1765</v>
      </c>
      <c r="AE39" s="40">
        <v>1816</v>
      </c>
      <c r="AF39" s="40">
        <v>1743</v>
      </c>
      <c r="AG39" s="40">
        <v>1869</v>
      </c>
      <c r="AH39" s="40">
        <v>1854</v>
      </c>
    </row>
    <row r="40" spans="1:34" x14ac:dyDescent="0.2">
      <c r="A40" s="46">
        <v>564</v>
      </c>
      <c r="B40" s="40">
        <v>28</v>
      </c>
      <c r="C40" s="40">
        <v>21</v>
      </c>
      <c r="D40" s="40">
        <v>26</v>
      </c>
      <c r="E40" s="40">
        <v>13</v>
      </c>
      <c r="F40" s="40">
        <v>43</v>
      </c>
      <c r="G40" s="40">
        <v>30</v>
      </c>
      <c r="H40" s="40">
        <v>41</v>
      </c>
      <c r="I40" s="40">
        <v>18</v>
      </c>
      <c r="J40" s="40">
        <v>27</v>
      </c>
      <c r="K40" s="40">
        <v>30</v>
      </c>
      <c r="L40" s="40">
        <v>41</v>
      </c>
      <c r="M40" s="40">
        <v>21</v>
      </c>
      <c r="N40" s="40">
        <v>20</v>
      </c>
      <c r="O40" s="40">
        <v>35</v>
      </c>
      <c r="P40" s="40">
        <v>68</v>
      </c>
      <c r="Q40" s="40">
        <v>28</v>
      </c>
      <c r="R40" s="40">
        <v>26</v>
      </c>
      <c r="S40" s="40">
        <v>43</v>
      </c>
      <c r="T40" s="40">
        <v>36</v>
      </c>
      <c r="U40" s="40">
        <v>54</v>
      </c>
      <c r="V40" s="40">
        <v>29</v>
      </c>
      <c r="W40" s="40">
        <v>35</v>
      </c>
      <c r="X40" s="40">
        <v>18</v>
      </c>
      <c r="Y40" s="40">
        <v>33</v>
      </c>
      <c r="Z40" s="40">
        <v>20</v>
      </c>
      <c r="AA40" s="40">
        <v>22</v>
      </c>
      <c r="AB40" s="40">
        <v>21</v>
      </c>
      <c r="AC40" s="40">
        <v>22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</row>
    <row r="41" spans="1:34" x14ac:dyDescent="0.2">
      <c r="A41" s="46">
        <v>565</v>
      </c>
      <c r="B41" s="40">
        <v>47</v>
      </c>
      <c r="C41" s="40">
        <v>31</v>
      </c>
      <c r="D41" s="40">
        <v>33</v>
      </c>
      <c r="E41" s="40">
        <v>30</v>
      </c>
      <c r="F41" s="40">
        <v>30</v>
      </c>
      <c r="G41" s="40">
        <v>40</v>
      </c>
      <c r="H41" s="40">
        <v>17</v>
      </c>
      <c r="I41" s="40">
        <v>21</v>
      </c>
      <c r="J41" s="40">
        <v>35</v>
      </c>
      <c r="K41" s="40">
        <v>45</v>
      </c>
      <c r="L41" s="40">
        <v>29</v>
      </c>
      <c r="M41" s="40">
        <v>47</v>
      </c>
      <c r="N41" s="40">
        <v>19</v>
      </c>
      <c r="O41" s="40">
        <v>56</v>
      </c>
      <c r="P41" s="40">
        <v>35</v>
      </c>
      <c r="Q41" s="40">
        <v>33</v>
      </c>
      <c r="R41" s="40">
        <v>18</v>
      </c>
      <c r="S41" s="40">
        <v>29</v>
      </c>
      <c r="T41" s="40">
        <v>34</v>
      </c>
      <c r="U41" s="40">
        <v>26</v>
      </c>
      <c r="V41" s="40">
        <v>43</v>
      </c>
      <c r="W41" s="40">
        <v>38</v>
      </c>
      <c r="X41" s="40">
        <v>27</v>
      </c>
      <c r="Y41" s="40">
        <v>29</v>
      </c>
      <c r="Z41" s="40">
        <v>18</v>
      </c>
      <c r="AA41" s="40">
        <v>29</v>
      </c>
      <c r="AB41" s="40">
        <v>36</v>
      </c>
      <c r="AC41" s="40">
        <v>32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</row>
    <row r="42" spans="1:34" x14ac:dyDescent="0.2">
      <c r="A42" s="46">
        <v>567</v>
      </c>
      <c r="B42" s="40">
        <v>25</v>
      </c>
      <c r="C42" s="40">
        <v>38</v>
      </c>
      <c r="D42" s="40">
        <v>42</v>
      </c>
      <c r="E42" s="40">
        <v>55</v>
      </c>
      <c r="F42" s="40">
        <v>23</v>
      </c>
      <c r="G42" s="40">
        <v>29</v>
      </c>
      <c r="H42" s="40">
        <v>30</v>
      </c>
      <c r="I42" s="40">
        <v>25</v>
      </c>
      <c r="J42" s="40">
        <v>20</v>
      </c>
      <c r="K42" s="40">
        <v>41</v>
      </c>
      <c r="L42" s="40">
        <v>17</v>
      </c>
      <c r="M42" s="40">
        <v>31</v>
      </c>
      <c r="N42" s="40">
        <v>19</v>
      </c>
      <c r="O42" s="40">
        <v>46</v>
      </c>
      <c r="P42" s="40">
        <v>18</v>
      </c>
      <c r="Q42" s="40">
        <v>37</v>
      </c>
      <c r="R42" s="40">
        <v>47</v>
      </c>
      <c r="S42" s="40">
        <v>21</v>
      </c>
      <c r="T42" s="40">
        <v>35</v>
      </c>
      <c r="U42" s="40">
        <v>24</v>
      </c>
      <c r="V42" s="40">
        <v>19</v>
      </c>
      <c r="W42" s="40">
        <v>31</v>
      </c>
      <c r="X42" s="40">
        <v>21</v>
      </c>
      <c r="Y42" s="40">
        <v>17</v>
      </c>
      <c r="Z42" s="40">
        <v>29</v>
      </c>
      <c r="AA42" s="40">
        <v>30</v>
      </c>
      <c r="AB42" s="40">
        <v>20</v>
      </c>
      <c r="AC42" s="40">
        <v>29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</row>
    <row r="43" spans="1:34" x14ac:dyDescent="0.2">
      <c r="A43" s="46">
        <v>572</v>
      </c>
      <c r="B43" s="40">
        <v>22</v>
      </c>
      <c r="C43" s="40">
        <v>49</v>
      </c>
      <c r="D43" s="40">
        <v>37</v>
      </c>
      <c r="E43" s="40">
        <v>25</v>
      </c>
      <c r="F43" s="40">
        <v>35</v>
      </c>
      <c r="G43" s="40">
        <v>44</v>
      </c>
      <c r="H43" s="40">
        <v>34</v>
      </c>
      <c r="I43" s="40">
        <v>53</v>
      </c>
      <c r="J43" s="40">
        <v>33</v>
      </c>
      <c r="K43" s="40">
        <v>47</v>
      </c>
      <c r="L43" s="40">
        <v>19</v>
      </c>
      <c r="M43" s="40">
        <v>28</v>
      </c>
      <c r="N43" s="40">
        <v>21</v>
      </c>
      <c r="O43" s="40">
        <v>19</v>
      </c>
      <c r="P43" s="40">
        <v>21</v>
      </c>
      <c r="Q43" s="40">
        <v>31</v>
      </c>
      <c r="R43" s="40">
        <v>32</v>
      </c>
      <c r="S43" s="40">
        <v>34</v>
      </c>
      <c r="T43" s="40">
        <v>26</v>
      </c>
      <c r="U43" s="40">
        <v>34</v>
      </c>
      <c r="V43" s="40">
        <v>14</v>
      </c>
      <c r="W43" s="40">
        <v>30</v>
      </c>
      <c r="X43" s="40">
        <v>19</v>
      </c>
      <c r="Y43" s="40">
        <v>31</v>
      </c>
      <c r="Z43" s="40">
        <v>14</v>
      </c>
      <c r="AA43" s="40">
        <v>35</v>
      </c>
      <c r="AB43" s="40">
        <v>30</v>
      </c>
      <c r="AC43" s="40">
        <v>22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</row>
    <row r="44" spans="1:34" x14ac:dyDescent="0.2">
      <c r="A44" s="46">
        <v>607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5</v>
      </c>
      <c r="AD44" s="40">
        <v>18</v>
      </c>
      <c r="AE44" s="40">
        <v>8</v>
      </c>
      <c r="AF44" s="40">
        <v>15</v>
      </c>
      <c r="AG44" s="40">
        <v>24</v>
      </c>
      <c r="AH44" s="40">
        <v>4</v>
      </c>
    </row>
    <row r="45" spans="1:34" x14ac:dyDescent="0.2">
      <c r="A45" s="46">
        <v>625</v>
      </c>
      <c r="B45" s="40">
        <v>0</v>
      </c>
      <c r="C45" s="40">
        <v>0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3</v>
      </c>
      <c r="AD45" s="40">
        <v>17</v>
      </c>
      <c r="AE45" s="40">
        <v>15</v>
      </c>
      <c r="AF45" s="40">
        <v>5</v>
      </c>
      <c r="AG45" s="40">
        <v>17</v>
      </c>
      <c r="AH45" s="40">
        <v>2</v>
      </c>
    </row>
    <row r="46" spans="1:34" x14ac:dyDescent="0.2">
      <c r="A46" s="46">
        <v>627</v>
      </c>
      <c r="B46" s="40">
        <v>1004</v>
      </c>
      <c r="C46" s="40">
        <v>882</v>
      </c>
      <c r="D46" s="40">
        <v>1046</v>
      </c>
      <c r="E46" s="40">
        <v>874</v>
      </c>
      <c r="F46" s="40">
        <v>936</v>
      </c>
      <c r="G46" s="40">
        <v>878</v>
      </c>
      <c r="H46" s="40">
        <v>927</v>
      </c>
      <c r="I46" s="40">
        <v>935</v>
      </c>
      <c r="J46" s="40">
        <v>966</v>
      </c>
      <c r="K46" s="40">
        <v>904</v>
      </c>
      <c r="L46" s="40">
        <v>970</v>
      </c>
      <c r="M46" s="40">
        <v>962</v>
      </c>
      <c r="N46" s="40">
        <v>896</v>
      </c>
      <c r="O46" s="40">
        <v>811</v>
      </c>
      <c r="P46" s="40">
        <v>897</v>
      </c>
      <c r="Q46" s="40">
        <v>973</v>
      </c>
      <c r="R46" s="40">
        <v>875</v>
      </c>
      <c r="S46" s="40">
        <v>879</v>
      </c>
      <c r="T46" s="40">
        <v>843</v>
      </c>
      <c r="U46" s="40">
        <v>981</v>
      </c>
      <c r="V46" s="40">
        <v>912</v>
      </c>
      <c r="W46" s="40">
        <v>941</v>
      </c>
      <c r="X46" s="40">
        <v>848</v>
      </c>
      <c r="Y46" s="40">
        <v>891</v>
      </c>
      <c r="Z46" s="40">
        <v>1034</v>
      </c>
      <c r="AA46" s="40">
        <v>747</v>
      </c>
      <c r="AB46" s="40">
        <v>952</v>
      </c>
      <c r="AC46" s="40">
        <v>964</v>
      </c>
      <c r="AD46" s="40">
        <v>960</v>
      </c>
      <c r="AE46" s="40">
        <v>862</v>
      </c>
      <c r="AF46" s="40">
        <v>974</v>
      </c>
      <c r="AG46" s="40">
        <v>901</v>
      </c>
      <c r="AH46" s="40">
        <v>930</v>
      </c>
    </row>
    <row r="47" spans="1:34" x14ac:dyDescent="0.2">
      <c r="A47" s="46">
        <v>642</v>
      </c>
      <c r="B47" s="40">
        <v>28</v>
      </c>
      <c r="C47" s="40">
        <v>19</v>
      </c>
      <c r="D47" s="40">
        <v>25</v>
      </c>
      <c r="E47" s="40">
        <v>38</v>
      </c>
      <c r="F47" s="40">
        <v>31</v>
      </c>
      <c r="G47" s="40">
        <v>21</v>
      </c>
      <c r="H47" s="40">
        <v>20</v>
      </c>
      <c r="I47" s="40">
        <v>64</v>
      </c>
      <c r="J47" s="40">
        <v>31</v>
      </c>
      <c r="K47" s="40">
        <v>32</v>
      </c>
      <c r="L47" s="40">
        <v>36</v>
      </c>
      <c r="M47" s="40">
        <v>28</v>
      </c>
      <c r="N47" s="40">
        <v>13</v>
      </c>
      <c r="O47" s="40">
        <v>22</v>
      </c>
      <c r="P47" s="40">
        <v>37</v>
      </c>
      <c r="Q47" s="40">
        <v>43</v>
      </c>
      <c r="R47" s="40">
        <v>39</v>
      </c>
      <c r="S47" s="40">
        <v>44</v>
      </c>
      <c r="T47" s="40">
        <v>28</v>
      </c>
      <c r="U47" s="40">
        <v>26</v>
      </c>
      <c r="V47" s="40">
        <v>12</v>
      </c>
      <c r="W47" s="40">
        <v>37</v>
      </c>
      <c r="X47" s="40">
        <v>53</v>
      </c>
      <c r="Y47" s="40">
        <v>38</v>
      </c>
      <c r="Z47" s="40">
        <v>26</v>
      </c>
      <c r="AA47" s="40">
        <v>32</v>
      </c>
      <c r="AB47" s="40">
        <v>43</v>
      </c>
      <c r="AC47" s="40">
        <v>24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</row>
    <row r="48" spans="1:34" x14ac:dyDescent="0.2">
      <c r="A48" s="46">
        <v>646</v>
      </c>
      <c r="B48" s="40">
        <v>0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6</v>
      </c>
      <c r="AD48" s="40">
        <v>50</v>
      </c>
      <c r="AE48" s="40">
        <v>37</v>
      </c>
      <c r="AF48" s="40">
        <v>55</v>
      </c>
      <c r="AG48" s="40">
        <v>27</v>
      </c>
      <c r="AH48" s="40">
        <v>32</v>
      </c>
    </row>
    <row r="49" spans="1:34" x14ac:dyDescent="0.2">
      <c r="A49" s="46">
        <v>647</v>
      </c>
      <c r="B49" s="40">
        <v>0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3</v>
      </c>
      <c r="AD49" s="40">
        <v>23</v>
      </c>
      <c r="AE49" s="40">
        <v>8</v>
      </c>
      <c r="AF49" s="40">
        <v>12</v>
      </c>
      <c r="AG49" s="40">
        <v>17</v>
      </c>
      <c r="AH49" s="40">
        <v>4</v>
      </c>
    </row>
    <row r="50" spans="1:34" x14ac:dyDescent="0.2">
      <c r="A50" s="46">
        <v>652</v>
      </c>
      <c r="B50" s="40">
        <v>0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2</v>
      </c>
      <c r="AD50" s="40">
        <v>13</v>
      </c>
      <c r="AE50" s="40">
        <v>13</v>
      </c>
      <c r="AF50" s="40">
        <v>14</v>
      </c>
      <c r="AG50" s="40">
        <v>9</v>
      </c>
      <c r="AH50" s="40">
        <v>3</v>
      </c>
    </row>
    <row r="51" spans="1:34" x14ac:dyDescent="0.2">
      <c r="A51" s="46">
        <v>666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7</v>
      </c>
      <c r="AD51" s="40">
        <v>11</v>
      </c>
      <c r="AE51" s="40">
        <v>24</v>
      </c>
      <c r="AF51" s="40">
        <v>18</v>
      </c>
      <c r="AG51" s="40">
        <v>19</v>
      </c>
      <c r="AH51" s="40">
        <v>4</v>
      </c>
    </row>
    <row r="52" spans="1:34" x14ac:dyDescent="0.2">
      <c r="A52" s="46">
        <v>671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5</v>
      </c>
      <c r="AD52" s="40">
        <v>13</v>
      </c>
      <c r="AE52" s="40">
        <v>12</v>
      </c>
      <c r="AF52" s="40">
        <v>17</v>
      </c>
      <c r="AG52" s="40">
        <v>13</v>
      </c>
      <c r="AH52" s="40">
        <v>2</v>
      </c>
    </row>
    <row r="53" spans="1:34" x14ac:dyDescent="0.2">
      <c r="A53" s="46">
        <v>677</v>
      </c>
      <c r="B53" s="40">
        <v>0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7</v>
      </c>
      <c r="AD53" s="40">
        <v>41</v>
      </c>
      <c r="AE53" s="40">
        <v>36</v>
      </c>
      <c r="AF53" s="40">
        <v>36</v>
      </c>
      <c r="AG53" s="40">
        <v>52</v>
      </c>
      <c r="AH53" s="40">
        <v>13</v>
      </c>
    </row>
    <row r="54" spans="1:34" x14ac:dyDescent="0.2">
      <c r="A54" s="46">
        <v>691</v>
      </c>
      <c r="B54" s="40">
        <v>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15</v>
      </c>
      <c r="AD54" s="40">
        <v>23</v>
      </c>
      <c r="AE54" s="40">
        <v>18</v>
      </c>
      <c r="AF54" s="40">
        <v>25</v>
      </c>
      <c r="AG54" s="40">
        <v>51</v>
      </c>
      <c r="AH54" s="40">
        <v>0</v>
      </c>
    </row>
    <row r="55" spans="1:34" x14ac:dyDescent="0.2">
      <c r="A55" s="46">
        <v>703</v>
      </c>
      <c r="B55" s="40">
        <v>15</v>
      </c>
      <c r="C55" s="40">
        <v>32</v>
      </c>
      <c r="D55" s="40">
        <v>10</v>
      </c>
      <c r="E55" s="40">
        <v>39</v>
      </c>
      <c r="F55" s="40">
        <v>28</v>
      </c>
      <c r="G55" s="40">
        <v>41</v>
      </c>
      <c r="H55" s="40">
        <v>47</v>
      </c>
      <c r="I55" s="40">
        <v>46</v>
      </c>
      <c r="J55" s="40">
        <v>19</v>
      </c>
      <c r="K55" s="40">
        <v>23</v>
      </c>
      <c r="L55" s="40">
        <v>36</v>
      </c>
      <c r="M55" s="40">
        <v>28</v>
      </c>
      <c r="N55" s="40">
        <v>19</v>
      </c>
      <c r="O55" s="40">
        <v>28</v>
      </c>
      <c r="P55" s="40">
        <v>25</v>
      </c>
      <c r="Q55" s="40">
        <v>36</v>
      </c>
      <c r="R55" s="40">
        <v>42</v>
      </c>
      <c r="S55" s="40">
        <v>23</v>
      </c>
      <c r="T55" s="40">
        <v>39</v>
      </c>
      <c r="U55" s="40">
        <v>49</v>
      </c>
      <c r="V55" s="40">
        <v>42</v>
      </c>
      <c r="W55" s="40">
        <v>25</v>
      </c>
      <c r="X55" s="40">
        <v>35</v>
      </c>
      <c r="Y55" s="40">
        <v>32</v>
      </c>
      <c r="Z55" s="40">
        <v>27</v>
      </c>
      <c r="AA55" s="40">
        <v>29</v>
      </c>
      <c r="AB55" s="40">
        <v>22</v>
      </c>
      <c r="AC55" s="40">
        <v>28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</row>
    <row r="56" spans="1:34" x14ac:dyDescent="0.2">
      <c r="A56" s="46">
        <v>705</v>
      </c>
      <c r="B56" s="40">
        <v>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8</v>
      </c>
      <c r="AD56" s="40">
        <v>9</v>
      </c>
      <c r="AE56" s="40">
        <v>15</v>
      </c>
      <c r="AF56" s="40">
        <v>18</v>
      </c>
      <c r="AG56" s="40">
        <v>15</v>
      </c>
      <c r="AH56" s="40">
        <v>3</v>
      </c>
    </row>
    <row r="57" spans="1:34" x14ac:dyDescent="0.2">
      <c r="A57" s="46">
        <v>715</v>
      </c>
      <c r="B57" s="40">
        <v>0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4</v>
      </c>
      <c r="AD57" s="40">
        <v>10</v>
      </c>
      <c r="AE57" s="40">
        <v>14</v>
      </c>
      <c r="AF57" s="40">
        <v>8</v>
      </c>
      <c r="AG57" s="40">
        <v>25</v>
      </c>
      <c r="AH57" s="40">
        <v>4</v>
      </c>
    </row>
    <row r="58" spans="1:34" x14ac:dyDescent="0.2">
      <c r="A58" s="46">
        <v>724</v>
      </c>
      <c r="B58" s="40">
        <v>0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9</v>
      </c>
      <c r="AD58" s="40">
        <v>34</v>
      </c>
      <c r="AE58" s="40">
        <v>57</v>
      </c>
      <c r="AF58" s="40">
        <v>48</v>
      </c>
      <c r="AG58" s="40">
        <v>53</v>
      </c>
      <c r="AH58" s="40">
        <v>19</v>
      </c>
    </row>
    <row r="59" spans="1:34" x14ac:dyDescent="0.2">
      <c r="A59" s="46">
        <v>725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8</v>
      </c>
      <c r="AD59" s="40">
        <v>11</v>
      </c>
      <c r="AE59" s="40">
        <v>19</v>
      </c>
      <c r="AF59" s="40">
        <v>18</v>
      </c>
      <c r="AG59" s="40">
        <v>14</v>
      </c>
      <c r="AH59" s="40">
        <v>2</v>
      </c>
    </row>
    <row r="60" spans="1:34" x14ac:dyDescent="0.2">
      <c r="A60" s="46">
        <v>728</v>
      </c>
      <c r="B60" s="40">
        <v>34</v>
      </c>
      <c r="C60" s="40">
        <v>46</v>
      </c>
      <c r="D60" s="40">
        <v>30</v>
      </c>
      <c r="E60" s="40">
        <v>13</v>
      </c>
      <c r="F60" s="40">
        <v>50</v>
      </c>
      <c r="G60" s="40">
        <v>47</v>
      </c>
      <c r="H60" s="40">
        <v>36</v>
      </c>
      <c r="I60" s="40">
        <v>35</v>
      </c>
      <c r="J60" s="40">
        <v>28</v>
      </c>
      <c r="K60" s="40">
        <v>29</v>
      </c>
      <c r="L60" s="40">
        <v>28</v>
      </c>
      <c r="M60" s="40">
        <v>36</v>
      </c>
      <c r="N60" s="40">
        <v>18</v>
      </c>
      <c r="O60" s="40">
        <v>36</v>
      </c>
      <c r="P60" s="40">
        <v>24</v>
      </c>
      <c r="Q60" s="40">
        <v>50</v>
      </c>
      <c r="R60" s="40">
        <v>45</v>
      </c>
      <c r="S60" s="40">
        <v>33</v>
      </c>
      <c r="T60" s="40">
        <v>32</v>
      </c>
      <c r="U60" s="40">
        <v>27</v>
      </c>
      <c r="V60" s="40">
        <v>34</v>
      </c>
      <c r="W60" s="40">
        <v>24</v>
      </c>
      <c r="X60" s="40">
        <v>8</v>
      </c>
      <c r="Y60" s="40">
        <v>46</v>
      </c>
      <c r="Z60" s="40">
        <v>27</v>
      </c>
      <c r="AA60" s="40">
        <v>43</v>
      </c>
      <c r="AB60" s="40">
        <v>20</v>
      </c>
      <c r="AC60" s="40">
        <v>24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</row>
    <row r="61" spans="1:34" x14ac:dyDescent="0.2">
      <c r="A61" s="46">
        <v>730</v>
      </c>
      <c r="B61" s="40">
        <v>0</v>
      </c>
      <c r="C61" s="40">
        <v>0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3</v>
      </c>
      <c r="AD61" s="40">
        <v>44</v>
      </c>
      <c r="AE61" s="40">
        <v>53</v>
      </c>
      <c r="AF61" s="40">
        <v>35</v>
      </c>
      <c r="AG61" s="40">
        <v>40</v>
      </c>
      <c r="AH61" s="40">
        <v>14</v>
      </c>
    </row>
    <row r="62" spans="1:34" x14ac:dyDescent="0.2">
      <c r="A62" s="46">
        <v>743</v>
      </c>
      <c r="B62" s="40">
        <v>0</v>
      </c>
      <c r="C62" s="40">
        <v>0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4</v>
      </c>
      <c r="AD62" s="40">
        <v>18</v>
      </c>
      <c r="AE62" s="40">
        <v>11</v>
      </c>
      <c r="AF62" s="40">
        <v>12</v>
      </c>
      <c r="AG62" s="40">
        <v>16</v>
      </c>
      <c r="AH62" s="40">
        <v>0</v>
      </c>
    </row>
    <row r="63" spans="1:34" x14ac:dyDescent="0.2">
      <c r="A63" s="46">
        <v>768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33</v>
      </c>
    </row>
    <row r="64" spans="1:34" x14ac:dyDescent="0.2">
      <c r="A64" s="46">
        <v>771</v>
      </c>
      <c r="B64" s="40">
        <v>24</v>
      </c>
      <c r="C64" s="40">
        <v>16</v>
      </c>
      <c r="D64" s="40">
        <v>29</v>
      </c>
      <c r="E64" s="40">
        <v>25</v>
      </c>
      <c r="F64" s="40">
        <v>56</v>
      </c>
      <c r="G64" s="40">
        <v>22</v>
      </c>
      <c r="H64" s="40">
        <v>40</v>
      </c>
      <c r="I64" s="40">
        <v>25</v>
      </c>
      <c r="J64" s="40">
        <v>10</v>
      </c>
      <c r="K64" s="40">
        <v>35</v>
      </c>
      <c r="L64" s="40">
        <v>39</v>
      </c>
      <c r="M64" s="40">
        <v>27</v>
      </c>
      <c r="N64" s="40">
        <v>29</v>
      </c>
      <c r="O64" s="40">
        <v>34</v>
      </c>
      <c r="P64" s="40">
        <v>28</v>
      </c>
      <c r="Q64" s="40">
        <v>28</v>
      </c>
      <c r="R64" s="40">
        <v>40</v>
      </c>
      <c r="S64" s="40">
        <v>32</v>
      </c>
      <c r="T64" s="40">
        <v>28</v>
      </c>
      <c r="U64" s="40">
        <v>33</v>
      </c>
      <c r="V64" s="40">
        <v>13</v>
      </c>
      <c r="W64" s="40">
        <v>41</v>
      </c>
      <c r="X64" s="40">
        <v>33</v>
      </c>
      <c r="Y64" s="40">
        <v>29</v>
      </c>
      <c r="Z64" s="40">
        <v>29</v>
      </c>
      <c r="AA64" s="40">
        <v>14</v>
      </c>
      <c r="AB64" s="40">
        <v>54</v>
      </c>
      <c r="AC64" s="40">
        <v>14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</row>
    <row r="65" spans="1:34" x14ac:dyDescent="0.2">
      <c r="A65" s="46">
        <v>773</v>
      </c>
      <c r="B65" s="40">
        <v>0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1</v>
      </c>
      <c r="AD65" s="40">
        <v>9</v>
      </c>
      <c r="AE65" s="40">
        <v>15</v>
      </c>
      <c r="AF65" s="40">
        <v>8</v>
      </c>
      <c r="AG65" s="40">
        <v>10</v>
      </c>
      <c r="AH65" s="40">
        <v>8</v>
      </c>
    </row>
    <row r="66" spans="1:34" x14ac:dyDescent="0.2">
      <c r="A66" s="46">
        <v>775</v>
      </c>
      <c r="B66" s="40">
        <v>31</v>
      </c>
      <c r="C66" s="40">
        <v>45</v>
      </c>
      <c r="D66" s="40">
        <v>29</v>
      </c>
      <c r="E66" s="40">
        <v>37</v>
      </c>
      <c r="F66" s="40">
        <v>54</v>
      </c>
      <c r="G66" s="40">
        <v>36</v>
      </c>
      <c r="H66" s="40">
        <v>19</v>
      </c>
      <c r="I66" s="40">
        <v>21</v>
      </c>
      <c r="J66" s="40">
        <v>35</v>
      </c>
      <c r="K66" s="40">
        <v>13</v>
      </c>
      <c r="L66" s="40">
        <v>50</v>
      </c>
      <c r="M66" s="40">
        <v>27</v>
      </c>
      <c r="N66" s="40">
        <v>20</v>
      </c>
      <c r="O66" s="40">
        <v>20</v>
      </c>
      <c r="P66" s="40">
        <v>25</v>
      </c>
      <c r="Q66" s="40">
        <v>34</v>
      </c>
      <c r="R66" s="40">
        <v>34</v>
      </c>
      <c r="S66" s="40">
        <v>21</v>
      </c>
      <c r="T66" s="40">
        <v>18</v>
      </c>
      <c r="U66" s="40">
        <v>36</v>
      </c>
      <c r="V66" s="40">
        <v>16</v>
      </c>
      <c r="W66" s="40">
        <v>38</v>
      </c>
      <c r="X66" s="40">
        <v>35</v>
      </c>
      <c r="Y66" s="40">
        <v>30</v>
      </c>
      <c r="Z66" s="40">
        <v>29</v>
      </c>
      <c r="AA66" s="40">
        <v>33</v>
      </c>
      <c r="AB66" s="40">
        <v>34</v>
      </c>
      <c r="AC66" s="40">
        <v>25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</row>
    <row r="67" spans="1:34" x14ac:dyDescent="0.2">
      <c r="A67" s="46">
        <v>777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4</v>
      </c>
      <c r="AD67" s="40">
        <v>69</v>
      </c>
      <c r="AE67" s="40">
        <v>29</v>
      </c>
      <c r="AF67" s="40">
        <v>25</v>
      </c>
      <c r="AG67" s="40">
        <v>52</v>
      </c>
      <c r="AH67" s="40">
        <v>24</v>
      </c>
    </row>
    <row r="68" spans="1:34" x14ac:dyDescent="0.2">
      <c r="A68" s="46">
        <v>778</v>
      </c>
      <c r="B68" s="40">
        <v>39</v>
      </c>
      <c r="C68" s="40">
        <v>13</v>
      </c>
      <c r="D68" s="40">
        <v>37</v>
      </c>
      <c r="E68" s="40">
        <v>32</v>
      </c>
      <c r="F68" s="40">
        <v>32</v>
      </c>
      <c r="G68" s="40">
        <v>30</v>
      </c>
      <c r="H68" s="40">
        <v>28</v>
      </c>
      <c r="I68" s="40">
        <v>18</v>
      </c>
      <c r="J68" s="40">
        <v>32</v>
      </c>
      <c r="K68" s="40">
        <v>24</v>
      </c>
      <c r="L68" s="40">
        <v>51</v>
      </c>
      <c r="M68" s="40">
        <v>34</v>
      </c>
      <c r="N68" s="40">
        <v>19</v>
      </c>
      <c r="O68" s="40">
        <v>20</v>
      </c>
      <c r="P68" s="40">
        <v>34</v>
      </c>
      <c r="Q68" s="40">
        <v>16</v>
      </c>
      <c r="R68" s="40">
        <v>35</v>
      </c>
      <c r="S68" s="40">
        <v>30</v>
      </c>
      <c r="T68" s="40">
        <v>26</v>
      </c>
      <c r="U68" s="40">
        <v>35</v>
      </c>
      <c r="V68" s="40">
        <v>21</v>
      </c>
      <c r="W68" s="40">
        <v>20</v>
      </c>
      <c r="X68" s="40">
        <v>36</v>
      </c>
      <c r="Y68" s="40">
        <v>47</v>
      </c>
      <c r="Z68" s="40">
        <v>11</v>
      </c>
      <c r="AA68" s="40">
        <v>30</v>
      </c>
      <c r="AB68" s="40">
        <v>33</v>
      </c>
      <c r="AC68" s="40">
        <v>24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</row>
    <row r="69" spans="1:34" x14ac:dyDescent="0.2">
      <c r="A69" s="46">
        <v>786</v>
      </c>
      <c r="B69" s="40">
        <v>0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4</v>
      </c>
      <c r="AD69" s="40">
        <v>14</v>
      </c>
      <c r="AE69" s="40">
        <v>14</v>
      </c>
      <c r="AF69" s="40">
        <v>13</v>
      </c>
      <c r="AG69" s="40">
        <v>15</v>
      </c>
      <c r="AH69" s="40">
        <v>3</v>
      </c>
    </row>
    <row r="70" spans="1:34" x14ac:dyDescent="0.2">
      <c r="A70" s="46">
        <v>792</v>
      </c>
      <c r="B70" s="40">
        <v>22</v>
      </c>
      <c r="C70" s="40">
        <v>25</v>
      </c>
      <c r="D70" s="40">
        <v>37</v>
      </c>
      <c r="E70" s="40">
        <v>34</v>
      </c>
      <c r="F70" s="40">
        <v>30</v>
      </c>
      <c r="G70" s="40">
        <v>14</v>
      </c>
      <c r="H70" s="40">
        <v>25</v>
      </c>
      <c r="I70" s="40">
        <v>45</v>
      </c>
      <c r="J70" s="40">
        <v>29</v>
      </c>
      <c r="K70" s="40">
        <v>34</v>
      </c>
      <c r="L70" s="40">
        <v>28</v>
      </c>
      <c r="M70" s="40">
        <v>32</v>
      </c>
      <c r="N70" s="40">
        <v>44</v>
      </c>
      <c r="O70" s="40">
        <v>13</v>
      </c>
      <c r="P70" s="40">
        <v>30</v>
      </c>
      <c r="Q70" s="40">
        <v>36</v>
      </c>
      <c r="R70" s="40">
        <v>22</v>
      </c>
      <c r="S70" s="40">
        <v>43</v>
      </c>
      <c r="T70" s="40">
        <v>21</v>
      </c>
      <c r="U70" s="40">
        <v>13</v>
      </c>
      <c r="V70" s="40">
        <v>26</v>
      </c>
      <c r="W70" s="40">
        <v>35</v>
      </c>
      <c r="X70" s="40">
        <v>36</v>
      </c>
      <c r="Y70" s="40">
        <v>29</v>
      </c>
      <c r="Z70" s="40">
        <v>40</v>
      </c>
      <c r="AA70" s="40">
        <v>38</v>
      </c>
      <c r="AB70" s="40">
        <v>28</v>
      </c>
      <c r="AC70" s="40">
        <v>17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</row>
    <row r="71" spans="1:34" x14ac:dyDescent="0.2">
      <c r="A71" s="46">
        <v>793</v>
      </c>
      <c r="B71" s="40">
        <v>31</v>
      </c>
      <c r="C71" s="40">
        <v>25</v>
      </c>
      <c r="D71" s="40">
        <v>48</v>
      </c>
      <c r="E71" s="40">
        <v>49</v>
      </c>
      <c r="F71" s="40">
        <v>35</v>
      </c>
      <c r="G71" s="40">
        <v>32</v>
      </c>
      <c r="H71" s="40">
        <v>25</v>
      </c>
      <c r="I71" s="40">
        <v>27</v>
      </c>
      <c r="J71" s="40">
        <v>16</v>
      </c>
      <c r="K71" s="40">
        <v>59</v>
      </c>
      <c r="L71" s="40">
        <v>19</v>
      </c>
      <c r="M71" s="40">
        <v>24</v>
      </c>
      <c r="N71" s="40">
        <v>25</v>
      </c>
      <c r="O71" s="40">
        <v>34</v>
      </c>
      <c r="P71" s="40">
        <v>27</v>
      </c>
      <c r="Q71" s="40">
        <v>22</v>
      </c>
      <c r="R71" s="40">
        <v>32</v>
      </c>
      <c r="S71" s="40">
        <v>27</v>
      </c>
      <c r="T71" s="40">
        <v>55</v>
      </c>
      <c r="U71" s="40">
        <v>43</v>
      </c>
      <c r="V71" s="40">
        <v>40</v>
      </c>
      <c r="W71" s="40">
        <v>24</v>
      </c>
      <c r="X71" s="40">
        <v>20</v>
      </c>
      <c r="Y71" s="40">
        <v>26</v>
      </c>
      <c r="Z71" s="40">
        <v>16</v>
      </c>
      <c r="AA71" s="40">
        <v>13</v>
      </c>
      <c r="AB71" s="40">
        <v>30</v>
      </c>
      <c r="AC71" s="40">
        <v>12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</row>
    <row r="72" spans="1:34" x14ac:dyDescent="0.2">
      <c r="A72" s="46">
        <v>797</v>
      </c>
      <c r="B72" s="40">
        <v>32</v>
      </c>
      <c r="C72" s="40">
        <v>15</v>
      </c>
      <c r="D72" s="40">
        <v>50</v>
      </c>
      <c r="E72" s="40">
        <v>37</v>
      </c>
      <c r="F72" s="40">
        <v>46</v>
      </c>
      <c r="G72" s="40">
        <v>22</v>
      </c>
      <c r="H72" s="40">
        <v>31</v>
      </c>
      <c r="I72" s="40">
        <v>24</v>
      </c>
      <c r="J72" s="40">
        <v>32</v>
      </c>
      <c r="K72" s="40">
        <v>33</v>
      </c>
      <c r="L72" s="40">
        <v>53</v>
      </c>
      <c r="M72" s="40">
        <v>32</v>
      </c>
      <c r="N72" s="40">
        <v>31</v>
      </c>
      <c r="O72" s="40">
        <v>32</v>
      </c>
      <c r="P72" s="40">
        <v>15</v>
      </c>
      <c r="Q72" s="40">
        <v>39</v>
      </c>
      <c r="R72" s="40">
        <v>32</v>
      </c>
      <c r="S72" s="40">
        <v>40</v>
      </c>
      <c r="T72" s="40">
        <v>30</v>
      </c>
      <c r="U72" s="40">
        <v>8</v>
      </c>
      <c r="V72" s="40">
        <v>38</v>
      </c>
      <c r="W72" s="40">
        <v>23</v>
      </c>
      <c r="X72" s="40">
        <v>8</v>
      </c>
      <c r="Y72" s="40">
        <v>46</v>
      </c>
      <c r="Z72" s="40">
        <v>31</v>
      </c>
      <c r="AA72" s="40">
        <v>34</v>
      </c>
      <c r="AB72" s="40">
        <v>30</v>
      </c>
      <c r="AC72" s="40">
        <v>11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</row>
    <row r="73" spans="1:34" x14ac:dyDescent="0.2">
      <c r="A73" s="46">
        <v>804</v>
      </c>
      <c r="B73" s="40">
        <v>27</v>
      </c>
      <c r="C73" s="40">
        <v>36</v>
      </c>
      <c r="D73" s="40">
        <v>48</v>
      </c>
      <c r="E73" s="40">
        <v>45</v>
      </c>
      <c r="F73" s="40">
        <v>50</v>
      </c>
      <c r="G73" s="40">
        <v>25</v>
      </c>
      <c r="H73" s="40">
        <v>29</v>
      </c>
      <c r="I73" s="40">
        <v>45</v>
      </c>
      <c r="J73" s="40">
        <v>34</v>
      </c>
      <c r="K73" s="40">
        <v>12</v>
      </c>
      <c r="L73" s="40">
        <v>27</v>
      </c>
      <c r="M73" s="40">
        <v>53</v>
      </c>
      <c r="N73" s="40">
        <v>41</v>
      </c>
      <c r="O73" s="40">
        <v>52</v>
      </c>
      <c r="P73" s="40">
        <v>18</v>
      </c>
      <c r="Q73" s="40">
        <v>12</v>
      </c>
      <c r="R73" s="40">
        <v>20</v>
      </c>
      <c r="S73" s="40">
        <v>20</v>
      </c>
      <c r="T73" s="40">
        <v>30</v>
      </c>
      <c r="U73" s="40">
        <v>29</v>
      </c>
      <c r="V73" s="40">
        <v>34</v>
      </c>
      <c r="W73" s="40">
        <v>26</v>
      </c>
      <c r="X73" s="40">
        <v>37</v>
      </c>
      <c r="Y73" s="40">
        <v>39</v>
      </c>
      <c r="Z73" s="40">
        <v>37</v>
      </c>
      <c r="AA73" s="40">
        <v>32</v>
      </c>
      <c r="AB73" s="40">
        <v>20</v>
      </c>
      <c r="AC73" s="40">
        <v>22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</row>
    <row r="74" spans="1:34" x14ac:dyDescent="0.2">
      <c r="A74" s="46">
        <v>810</v>
      </c>
      <c r="B74" s="40">
        <v>32</v>
      </c>
      <c r="C74" s="40">
        <v>19</v>
      </c>
      <c r="D74" s="40">
        <v>23</v>
      </c>
      <c r="E74" s="40">
        <v>9</v>
      </c>
      <c r="F74" s="40">
        <v>33</v>
      </c>
      <c r="G74" s="40">
        <v>29</v>
      </c>
      <c r="H74" s="40">
        <v>27</v>
      </c>
      <c r="I74" s="40">
        <v>28</v>
      </c>
      <c r="J74" s="40">
        <v>26</v>
      </c>
      <c r="K74" s="40">
        <v>44</v>
      </c>
      <c r="L74" s="40">
        <v>35</v>
      </c>
      <c r="M74" s="40">
        <v>22</v>
      </c>
      <c r="N74" s="40">
        <v>38</v>
      </c>
      <c r="O74" s="40">
        <v>30</v>
      </c>
      <c r="P74" s="40">
        <v>7</v>
      </c>
      <c r="Q74" s="40">
        <v>17</v>
      </c>
      <c r="R74" s="40">
        <v>34</v>
      </c>
      <c r="S74" s="40">
        <v>25</v>
      </c>
      <c r="T74" s="40">
        <v>17</v>
      </c>
      <c r="U74" s="40">
        <v>20</v>
      </c>
      <c r="V74" s="40">
        <v>45</v>
      </c>
      <c r="W74" s="40">
        <v>21</v>
      </c>
      <c r="X74" s="40">
        <v>30</v>
      </c>
      <c r="Y74" s="40">
        <v>23</v>
      </c>
      <c r="Z74" s="40">
        <v>38</v>
      </c>
      <c r="AA74" s="40">
        <v>26</v>
      </c>
      <c r="AB74" s="40">
        <v>26</v>
      </c>
      <c r="AC74" s="40">
        <v>18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</row>
    <row r="75" spans="1:34" x14ac:dyDescent="0.2">
      <c r="A75" s="46">
        <v>818</v>
      </c>
      <c r="B75" s="40">
        <v>35</v>
      </c>
      <c r="C75" s="40">
        <v>31</v>
      </c>
      <c r="D75" s="40">
        <v>39</v>
      </c>
      <c r="E75" s="40">
        <v>26</v>
      </c>
      <c r="F75" s="40">
        <v>38</v>
      </c>
      <c r="G75" s="40">
        <v>38</v>
      </c>
      <c r="H75" s="40">
        <v>38</v>
      </c>
      <c r="I75" s="40">
        <v>27</v>
      </c>
      <c r="J75" s="40">
        <v>23</v>
      </c>
      <c r="K75" s="40">
        <v>11</v>
      </c>
      <c r="L75" s="40">
        <v>34</v>
      </c>
      <c r="M75" s="40">
        <v>33</v>
      </c>
      <c r="N75" s="40">
        <v>16</v>
      </c>
      <c r="O75" s="40">
        <v>34</v>
      </c>
      <c r="P75" s="40">
        <v>38</v>
      </c>
      <c r="Q75" s="40">
        <v>28</v>
      </c>
      <c r="R75" s="40">
        <v>16</v>
      </c>
      <c r="S75" s="40">
        <v>33</v>
      </c>
      <c r="T75" s="40">
        <v>44</v>
      </c>
      <c r="U75" s="40">
        <v>27</v>
      </c>
      <c r="V75" s="40">
        <v>31</v>
      </c>
      <c r="W75" s="40">
        <v>34</v>
      </c>
      <c r="X75" s="40">
        <v>19</v>
      </c>
      <c r="Y75" s="40">
        <v>40</v>
      </c>
      <c r="Z75" s="40">
        <v>26</v>
      </c>
      <c r="AA75" s="40">
        <v>40</v>
      </c>
      <c r="AB75" s="40">
        <v>41</v>
      </c>
      <c r="AC75" s="40">
        <v>9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</row>
    <row r="76" spans="1:34" x14ac:dyDescent="0.2">
      <c r="A76" s="46">
        <v>821</v>
      </c>
      <c r="B76" s="40">
        <v>36</v>
      </c>
      <c r="C76" s="40">
        <v>25</v>
      </c>
      <c r="D76" s="40">
        <v>34</v>
      </c>
      <c r="E76" s="40">
        <v>21</v>
      </c>
      <c r="F76" s="40">
        <v>35</v>
      </c>
      <c r="G76" s="40">
        <v>13</v>
      </c>
      <c r="H76" s="40">
        <v>28</v>
      </c>
      <c r="I76" s="40">
        <v>32</v>
      </c>
      <c r="J76" s="40">
        <v>47</v>
      </c>
      <c r="K76" s="40">
        <v>31</v>
      </c>
      <c r="L76" s="40">
        <v>29</v>
      </c>
      <c r="M76" s="40">
        <v>34</v>
      </c>
      <c r="N76" s="40">
        <v>28</v>
      </c>
      <c r="O76" s="40">
        <v>20</v>
      </c>
      <c r="P76" s="40">
        <v>20</v>
      </c>
      <c r="Q76" s="40">
        <v>34</v>
      </c>
      <c r="R76" s="40">
        <v>55</v>
      </c>
      <c r="S76" s="40">
        <v>26</v>
      </c>
      <c r="T76" s="40">
        <v>32</v>
      </c>
      <c r="U76" s="40">
        <v>32</v>
      </c>
      <c r="V76" s="40">
        <v>31</v>
      </c>
      <c r="W76" s="40">
        <v>32</v>
      </c>
      <c r="X76" s="40">
        <v>28</v>
      </c>
      <c r="Y76" s="40">
        <v>9</v>
      </c>
      <c r="Z76" s="40">
        <v>29</v>
      </c>
      <c r="AA76" s="40">
        <v>40</v>
      </c>
      <c r="AB76" s="40">
        <v>28</v>
      </c>
      <c r="AC76" s="40">
        <v>11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</row>
    <row r="77" spans="1:34" x14ac:dyDescent="0.2">
      <c r="A77" s="46">
        <v>822</v>
      </c>
      <c r="B77" s="40">
        <v>35</v>
      </c>
      <c r="C77" s="40">
        <v>30</v>
      </c>
      <c r="D77" s="40">
        <v>38</v>
      </c>
      <c r="E77" s="40">
        <v>19</v>
      </c>
      <c r="F77" s="40">
        <v>30</v>
      </c>
      <c r="G77" s="40">
        <v>36</v>
      </c>
      <c r="H77" s="40">
        <v>22</v>
      </c>
      <c r="I77" s="40">
        <v>20</v>
      </c>
      <c r="J77" s="40">
        <v>24</v>
      </c>
      <c r="K77" s="40">
        <v>26</v>
      </c>
      <c r="L77" s="40">
        <v>42</v>
      </c>
      <c r="M77" s="40">
        <v>34</v>
      </c>
      <c r="N77" s="40">
        <v>16</v>
      </c>
      <c r="O77" s="40">
        <v>28</v>
      </c>
      <c r="P77" s="40">
        <v>20</v>
      </c>
      <c r="Q77" s="40">
        <v>14</v>
      </c>
      <c r="R77" s="40">
        <v>13</v>
      </c>
      <c r="S77" s="40">
        <v>18</v>
      </c>
      <c r="T77" s="40">
        <v>22</v>
      </c>
      <c r="U77" s="40">
        <v>39</v>
      </c>
      <c r="V77" s="40">
        <v>31</v>
      </c>
      <c r="W77" s="40">
        <v>32</v>
      </c>
      <c r="X77" s="40">
        <v>36</v>
      </c>
      <c r="Y77" s="40">
        <v>30</v>
      </c>
      <c r="Z77" s="40">
        <v>38</v>
      </c>
      <c r="AA77" s="40">
        <v>28</v>
      </c>
      <c r="AB77" s="40">
        <v>38</v>
      </c>
      <c r="AC77" s="40">
        <v>18</v>
      </c>
      <c r="AD77" s="40">
        <v>0</v>
      </c>
      <c r="AE77" s="40">
        <v>0</v>
      </c>
      <c r="AF77" s="40">
        <v>0</v>
      </c>
      <c r="AG77" s="40">
        <v>0</v>
      </c>
      <c r="AH77" s="40">
        <v>0</v>
      </c>
    </row>
    <row r="78" spans="1:34" x14ac:dyDescent="0.2">
      <c r="A78" s="46">
        <v>823</v>
      </c>
      <c r="B78" s="40">
        <v>44</v>
      </c>
      <c r="C78" s="40">
        <v>50</v>
      </c>
      <c r="D78" s="40">
        <v>28</v>
      </c>
      <c r="E78" s="40">
        <v>14</v>
      </c>
      <c r="F78" s="40">
        <v>48</v>
      </c>
      <c r="G78" s="40">
        <v>26</v>
      </c>
      <c r="H78" s="40">
        <v>18</v>
      </c>
      <c r="I78" s="40">
        <v>26</v>
      </c>
      <c r="J78" s="40">
        <v>30</v>
      </c>
      <c r="K78" s="40">
        <v>22</v>
      </c>
      <c r="L78" s="40">
        <v>47</v>
      </c>
      <c r="M78" s="40">
        <v>35</v>
      </c>
      <c r="N78" s="40">
        <v>35</v>
      </c>
      <c r="O78" s="40">
        <v>26</v>
      </c>
      <c r="P78" s="40">
        <v>14</v>
      </c>
      <c r="Q78" s="40">
        <v>4</v>
      </c>
      <c r="R78" s="40">
        <v>21</v>
      </c>
      <c r="S78" s="40">
        <v>35</v>
      </c>
      <c r="T78" s="40">
        <v>26</v>
      </c>
      <c r="U78" s="40">
        <v>47</v>
      </c>
      <c r="V78" s="40">
        <v>47</v>
      </c>
      <c r="W78" s="40">
        <v>38</v>
      </c>
      <c r="X78" s="40">
        <v>38</v>
      </c>
      <c r="Y78" s="40">
        <v>29</v>
      </c>
      <c r="Z78" s="40">
        <v>47</v>
      </c>
      <c r="AA78" s="40">
        <v>14</v>
      </c>
      <c r="AB78" s="40">
        <v>43</v>
      </c>
      <c r="AC78" s="40">
        <v>24</v>
      </c>
      <c r="AD78" s="40">
        <v>0</v>
      </c>
      <c r="AE78" s="40">
        <v>0</v>
      </c>
      <c r="AF78" s="40">
        <v>0</v>
      </c>
      <c r="AG78" s="40">
        <v>0</v>
      </c>
      <c r="AH78" s="40">
        <v>0</v>
      </c>
    </row>
    <row r="79" spans="1:34" x14ac:dyDescent="0.2">
      <c r="A79" s="46">
        <v>825</v>
      </c>
      <c r="B79" s="40">
        <v>16</v>
      </c>
      <c r="C79" s="40">
        <v>21</v>
      </c>
      <c r="D79" s="40">
        <v>16</v>
      </c>
      <c r="E79" s="40">
        <v>20</v>
      </c>
      <c r="F79" s="40">
        <v>32</v>
      </c>
      <c r="G79" s="40">
        <v>12</v>
      </c>
      <c r="H79" s="40">
        <v>22</v>
      </c>
      <c r="I79" s="40">
        <v>20</v>
      </c>
      <c r="J79" s="40">
        <v>28</v>
      </c>
      <c r="K79" s="40">
        <v>49</v>
      </c>
      <c r="L79" s="40">
        <v>28</v>
      </c>
      <c r="M79" s="40">
        <v>40</v>
      </c>
      <c r="N79" s="40">
        <v>31</v>
      </c>
      <c r="O79" s="40">
        <v>41</v>
      </c>
      <c r="P79" s="40">
        <v>15</v>
      </c>
      <c r="Q79" s="40">
        <v>17</v>
      </c>
      <c r="R79" s="40">
        <v>17</v>
      </c>
      <c r="S79" s="40">
        <v>43</v>
      </c>
      <c r="T79" s="40">
        <v>17</v>
      </c>
      <c r="U79" s="40">
        <v>35</v>
      </c>
      <c r="V79" s="40">
        <v>31</v>
      </c>
      <c r="W79" s="40">
        <v>28</v>
      </c>
      <c r="X79" s="40">
        <v>36</v>
      </c>
      <c r="Y79" s="40">
        <v>30</v>
      </c>
      <c r="Z79" s="40">
        <v>34</v>
      </c>
      <c r="AA79" s="40">
        <v>36</v>
      </c>
      <c r="AB79" s="40">
        <v>30</v>
      </c>
      <c r="AC79" s="40">
        <v>15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</row>
    <row r="80" spans="1:34" x14ac:dyDescent="0.2">
      <c r="A80" s="46">
        <v>828</v>
      </c>
      <c r="B80" s="40">
        <v>32</v>
      </c>
      <c r="C80" s="40">
        <v>22</v>
      </c>
      <c r="D80" s="40">
        <v>35</v>
      </c>
      <c r="E80" s="40">
        <v>29</v>
      </c>
      <c r="F80" s="40">
        <v>21</v>
      </c>
      <c r="G80" s="40">
        <v>27</v>
      </c>
      <c r="H80" s="40">
        <v>27</v>
      </c>
      <c r="I80" s="40">
        <v>46</v>
      </c>
      <c r="J80" s="40">
        <v>33</v>
      </c>
      <c r="K80" s="40">
        <v>22</v>
      </c>
      <c r="L80" s="40">
        <v>30</v>
      </c>
      <c r="M80" s="40">
        <v>27</v>
      </c>
      <c r="N80" s="40">
        <v>57</v>
      </c>
      <c r="O80" s="40">
        <v>28</v>
      </c>
      <c r="P80" s="40">
        <v>43</v>
      </c>
      <c r="Q80" s="40">
        <v>23</v>
      </c>
      <c r="R80" s="40">
        <v>45</v>
      </c>
      <c r="S80" s="40">
        <v>40</v>
      </c>
      <c r="T80" s="40">
        <v>27</v>
      </c>
      <c r="U80" s="40">
        <v>32</v>
      </c>
      <c r="V80" s="40">
        <v>17</v>
      </c>
      <c r="W80" s="40">
        <v>43</v>
      </c>
      <c r="X80" s="40">
        <v>24</v>
      </c>
      <c r="Y80" s="40">
        <v>27</v>
      </c>
      <c r="Z80" s="40">
        <v>29</v>
      </c>
      <c r="AA80" s="40">
        <v>24</v>
      </c>
      <c r="AB80" s="40">
        <v>39</v>
      </c>
      <c r="AC80" s="40">
        <v>27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</row>
    <row r="81" spans="1:34" x14ac:dyDescent="0.2">
      <c r="A81" s="46">
        <v>835</v>
      </c>
      <c r="B81" s="40">
        <v>56</v>
      </c>
      <c r="C81" s="40">
        <v>29</v>
      </c>
      <c r="D81" s="40">
        <v>17</v>
      </c>
      <c r="E81" s="40">
        <v>42</v>
      </c>
      <c r="F81" s="40">
        <v>23</v>
      </c>
      <c r="G81" s="40">
        <v>42</v>
      </c>
      <c r="H81" s="40">
        <v>46</v>
      </c>
      <c r="I81" s="40">
        <v>43</v>
      </c>
      <c r="J81" s="40">
        <v>27</v>
      </c>
      <c r="K81" s="40">
        <v>37</v>
      </c>
      <c r="L81" s="40">
        <v>23</v>
      </c>
      <c r="M81" s="40">
        <v>35</v>
      </c>
      <c r="N81" s="40">
        <v>17</v>
      </c>
      <c r="O81" s="40">
        <v>20</v>
      </c>
      <c r="P81" s="40">
        <v>34</v>
      </c>
      <c r="Q81" s="40">
        <v>35</v>
      </c>
      <c r="R81" s="40">
        <v>36</v>
      </c>
      <c r="S81" s="40">
        <v>27</v>
      </c>
      <c r="T81" s="40">
        <v>28</v>
      </c>
      <c r="U81" s="40">
        <v>30</v>
      </c>
      <c r="V81" s="40">
        <v>36</v>
      </c>
      <c r="W81" s="40">
        <v>58</v>
      </c>
      <c r="X81" s="40">
        <v>44</v>
      </c>
      <c r="Y81" s="40">
        <v>26</v>
      </c>
      <c r="Z81" s="40">
        <v>19</v>
      </c>
      <c r="AA81" s="40">
        <v>19</v>
      </c>
      <c r="AB81" s="40">
        <v>32</v>
      </c>
      <c r="AC81" s="40">
        <v>6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</row>
    <row r="82" spans="1:34" x14ac:dyDescent="0.2">
      <c r="A82" s="46">
        <v>845</v>
      </c>
      <c r="B82" s="40">
        <v>0</v>
      </c>
      <c r="C82" s="40">
        <v>0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31</v>
      </c>
    </row>
    <row r="83" spans="1:34" x14ac:dyDescent="0.2">
      <c r="A83" s="46">
        <v>858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4</v>
      </c>
      <c r="AD83" s="40">
        <v>12</v>
      </c>
      <c r="AE83" s="40">
        <v>11</v>
      </c>
      <c r="AF83" s="40">
        <v>15</v>
      </c>
      <c r="AG83" s="40">
        <v>11</v>
      </c>
      <c r="AH83" s="40">
        <v>3</v>
      </c>
    </row>
    <row r="84" spans="1:34" x14ac:dyDescent="0.2">
      <c r="A84" s="46">
        <v>860</v>
      </c>
      <c r="B84" s="40">
        <v>0</v>
      </c>
      <c r="C84" s="40">
        <v>0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4</v>
      </c>
    </row>
    <row r="85" spans="1:34" x14ac:dyDescent="0.2">
      <c r="A85" s="46">
        <v>885</v>
      </c>
      <c r="B85" s="40">
        <v>31</v>
      </c>
      <c r="C85" s="40">
        <v>23</v>
      </c>
      <c r="D85" s="40">
        <v>19</v>
      </c>
      <c r="E85" s="40">
        <v>27</v>
      </c>
      <c r="F85" s="40">
        <v>44</v>
      </c>
      <c r="G85" s="40">
        <v>34</v>
      </c>
      <c r="H85" s="40">
        <v>29</v>
      </c>
      <c r="I85" s="40">
        <v>18</v>
      </c>
      <c r="J85" s="40">
        <v>36</v>
      </c>
      <c r="K85" s="40">
        <v>29</v>
      </c>
      <c r="L85" s="40">
        <v>29</v>
      </c>
      <c r="M85" s="40">
        <v>42</v>
      </c>
      <c r="N85" s="40">
        <v>36</v>
      </c>
      <c r="O85" s="40">
        <v>35</v>
      </c>
      <c r="P85" s="40">
        <v>32</v>
      </c>
      <c r="Q85" s="40">
        <v>45</v>
      </c>
      <c r="R85" s="40">
        <v>36</v>
      </c>
      <c r="S85" s="40">
        <v>29</v>
      </c>
      <c r="T85" s="40">
        <v>31</v>
      </c>
      <c r="U85" s="40">
        <v>20</v>
      </c>
      <c r="V85" s="40">
        <v>51</v>
      </c>
      <c r="W85" s="40">
        <v>36</v>
      </c>
      <c r="X85" s="40">
        <v>46</v>
      </c>
      <c r="Y85" s="40">
        <v>61</v>
      </c>
      <c r="Z85" s="40">
        <v>34</v>
      </c>
      <c r="AA85" s="40">
        <v>40</v>
      </c>
      <c r="AB85" s="40">
        <v>12</v>
      </c>
      <c r="AC85" s="40">
        <v>15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</row>
    <row r="86" spans="1:34" x14ac:dyDescent="0.2">
      <c r="A86" s="46">
        <v>886</v>
      </c>
      <c r="B86" s="40">
        <v>38</v>
      </c>
      <c r="C86" s="40">
        <v>41</v>
      </c>
      <c r="D86" s="40">
        <v>32</v>
      </c>
      <c r="E86" s="40">
        <v>27</v>
      </c>
      <c r="F86" s="40">
        <v>21</v>
      </c>
      <c r="G86" s="40">
        <v>35</v>
      </c>
      <c r="H86" s="40">
        <v>22</v>
      </c>
      <c r="I86" s="40">
        <v>43</v>
      </c>
      <c r="J86" s="40">
        <v>34</v>
      </c>
      <c r="K86" s="40">
        <v>39</v>
      </c>
      <c r="L86" s="40">
        <v>51</v>
      </c>
      <c r="M86" s="40">
        <v>29</v>
      </c>
      <c r="N86" s="40">
        <v>40</v>
      </c>
      <c r="O86" s="40">
        <v>19</v>
      </c>
      <c r="P86" s="40">
        <v>22</v>
      </c>
      <c r="Q86" s="40">
        <v>23</v>
      </c>
      <c r="R86" s="40">
        <v>23</v>
      </c>
      <c r="S86" s="40">
        <v>15</v>
      </c>
      <c r="T86" s="40">
        <v>20</v>
      </c>
      <c r="U86" s="40">
        <v>14</v>
      </c>
      <c r="V86" s="40">
        <v>23</v>
      </c>
      <c r="W86" s="40">
        <v>27</v>
      </c>
      <c r="X86" s="40">
        <v>12</v>
      </c>
      <c r="Y86" s="40">
        <v>29</v>
      </c>
      <c r="Z86" s="40">
        <v>32</v>
      </c>
      <c r="AA86" s="40">
        <v>30</v>
      </c>
      <c r="AB86" s="40">
        <v>43</v>
      </c>
      <c r="AC86" s="40">
        <v>42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</row>
    <row r="87" spans="1:34" x14ac:dyDescent="0.2">
      <c r="A87" s="46">
        <v>893</v>
      </c>
      <c r="B87" s="40">
        <v>14</v>
      </c>
      <c r="C87" s="40">
        <v>36</v>
      </c>
      <c r="D87" s="40">
        <v>31</v>
      </c>
      <c r="E87" s="40">
        <v>30</v>
      </c>
      <c r="F87" s="40">
        <v>32</v>
      </c>
      <c r="G87" s="40">
        <v>37</v>
      </c>
      <c r="H87" s="40">
        <v>37</v>
      </c>
      <c r="I87" s="40">
        <v>37</v>
      </c>
      <c r="J87" s="40">
        <v>26</v>
      </c>
      <c r="K87" s="40">
        <v>39</v>
      </c>
      <c r="L87" s="40">
        <v>23</v>
      </c>
      <c r="M87" s="40">
        <v>24</v>
      </c>
      <c r="N87" s="40">
        <v>16</v>
      </c>
      <c r="O87" s="40">
        <v>25</v>
      </c>
      <c r="P87" s="40">
        <v>50</v>
      </c>
      <c r="Q87" s="40">
        <v>33</v>
      </c>
      <c r="R87" s="40">
        <v>25</v>
      </c>
      <c r="S87" s="40">
        <v>49</v>
      </c>
      <c r="T87" s="40">
        <v>14</v>
      </c>
      <c r="U87" s="40">
        <v>27</v>
      </c>
      <c r="V87" s="40">
        <v>26</v>
      </c>
      <c r="W87" s="40">
        <v>58</v>
      </c>
      <c r="X87" s="40">
        <v>44</v>
      </c>
      <c r="Y87" s="40">
        <v>30</v>
      </c>
      <c r="Z87" s="40">
        <v>30</v>
      </c>
      <c r="AA87" s="40">
        <v>21</v>
      </c>
      <c r="AB87" s="40">
        <v>24</v>
      </c>
      <c r="AC87" s="40">
        <v>38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</row>
    <row r="88" spans="1:34" x14ac:dyDescent="0.2">
      <c r="A88" s="46">
        <v>897</v>
      </c>
      <c r="B88" s="40">
        <v>17</v>
      </c>
      <c r="C88" s="40">
        <v>9</v>
      </c>
      <c r="D88" s="40">
        <v>21</v>
      </c>
      <c r="E88" s="40">
        <v>15</v>
      </c>
      <c r="F88" s="40">
        <v>45</v>
      </c>
      <c r="G88" s="40">
        <v>21</v>
      </c>
      <c r="H88" s="40">
        <v>24</v>
      </c>
      <c r="I88" s="40">
        <v>27</v>
      </c>
      <c r="J88" s="40">
        <v>18</v>
      </c>
      <c r="K88" s="40">
        <v>44</v>
      </c>
      <c r="L88" s="40">
        <v>37</v>
      </c>
      <c r="M88" s="40">
        <v>13</v>
      </c>
      <c r="N88" s="40">
        <v>35</v>
      </c>
      <c r="O88" s="40">
        <v>27</v>
      </c>
      <c r="P88" s="40">
        <v>25</v>
      </c>
      <c r="Q88" s="40">
        <v>46</v>
      </c>
      <c r="R88" s="40">
        <v>27</v>
      </c>
      <c r="S88" s="40">
        <v>22</v>
      </c>
      <c r="T88" s="40">
        <v>54</v>
      </c>
      <c r="U88" s="40">
        <v>29</v>
      </c>
      <c r="V88" s="40">
        <v>30</v>
      </c>
      <c r="W88" s="40">
        <v>36</v>
      </c>
      <c r="X88" s="40">
        <v>20</v>
      </c>
      <c r="Y88" s="40">
        <v>28</v>
      </c>
      <c r="Z88" s="40">
        <v>24</v>
      </c>
      <c r="AA88" s="40">
        <v>20</v>
      </c>
      <c r="AB88" s="40">
        <v>59</v>
      </c>
      <c r="AC88" s="40">
        <v>13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</row>
    <row r="89" spans="1:34" x14ac:dyDescent="0.2">
      <c r="A89" s="46">
        <v>905</v>
      </c>
      <c r="B89" s="40">
        <v>29</v>
      </c>
      <c r="C89" s="40">
        <v>21</v>
      </c>
      <c r="D89" s="40">
        <v>31</v>
      </c>
      <c r="E89" s="40">
        <v>34</v>
      </c>
      <c r="F89" s="40">
        <v>38</v>
      </c>
      <c r="G89" s="40">
        <v>28</v>
      </c>
      <c r="H89" s="40">
        <v>40</v>
      </c>
      <c r="I89" s="40">
        <v>42</v>
      </c>
      <c r="J89" s="40">
        <v>19</v>
      </c>
      <c r="K89" s="40">
        <v>32</v>
      </c>
      <c r="L89" s="40">
        <v>35</v>
      </c>
      <c r="M89" s="40">
        <v>38</v>
      </c>
      <c r="N89" s="40">
        <v>30</v>
      </c>
      <c r="O89" s="40">
        <v>28</v>
      </c>
      <c r="P89" s="40">
        <v>19</v>
      </c>
      <c r="Q89" s="40">
        <v>30</v>
      </c>
      <c r="R89" s="40">
        <v>45</v>
      </c>
      <c r="S89" s="40">
        <v>27</v>
      </c>
      <c r="T89" s="40">
        <v>6</v>
      </c>
      <c r="U89" s="40">
        <v>22</v>
      </c>
      <c r="V89" s="40">
        <v>19</v>
      </c>
      <c r="W89" s="40">
        <v>34</v>
      </c>
      <c r="X89" s="40">
        <v>38</v>
      </c>
      <c r="Y89" s="40">
        <v>36</v>
      </c>
      <c r="Z89" s="40">
        <v>32</v>
      </c>
      <c r="AA89" s="40">
        <v>31</v>
      </c>
      <c r="AB89" s="40">
        <v>39</v>
      </c>
      <c r="AC89" s="40">
        <v>23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</row>
    <row r="90" spans="1:34" x14ac:dyDescent="0.2">
      <c r="A90" s="46">
        <v>906</v>
      </c>
      <c r="B90" s="40">
        <v>25</v>
      </c>
      <c r="C90" s="40">
        <v>15</v>
      </c>
      <c r="D90" s="40">
        <v>35</v>
      </c>
      <c r="E90" s="40">
        <v>19</v>
      </c>
      <c r="F90" s="40">
        <v>49</v>
      </c>
      <c r="G90" s="40">
        <v>33</v>
      </c>
      <c r="H90" s="40">
        <v>30</v>
      </c>
      <c r="I90" s="40">
        <v>36</v>
      </c>
      <c r="J90" s="40">
        <v>36</v>
      </c>
      <c r="K90" s="40">
        <v>26</v>
      </c>
      <c r="L90" s="40">
        <v>20</v>
      </c>
      <c r="M90" s="40">
        <v>33</v>
      </c>
      <c r="N90" s="40">
        <v>25</v>
      </c>
      <c r="O90" s="40">
        <v>32</v>
      </c>
      <c r="P90" s="40">
        <v>24</v>
      </c>
      <c r="Q90" s="40">
        <v>45</v>
      </c>
      <c r="R90" s="40">
        <v>46</v>
      </c>
      <c r="S90" s="40">
        <v>25</v>
      </c>
      <c r="T90" s="40">
        <v>32</v>
      </c>
      <c r="U90" s="40">
        <v>34</v>
      </c>
      <c r="V90" s="40">
        <v>42</v>
      </c>
      <c r="W90" s="40">
        <v>36</v>
      </c>
      <c r="X90" s="40">
        <v>51</v>
      </c>
      <c r="Y90" s="40">
        <v>44</v>
      </c>
      <c r="Z90" s="40">
        <v>12</v>
      </c>
      <c r="AA90" s="40">
        <v>29</v>
      </c>
      <c r="AB90" s="40">
        <v>29</v>
      </c>
      <c r="AC90" s="40">
        <v>8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</row>
    <row r="91" spans="1:34" x14ac:dyDescent="0.2">
      <c r="A91" s="46">
        <v>917</v>
      </c>
      <c r="B91" s="40">
        <v>60</v>
      </c>
      <c r="C91" s="40">
        <v>24</v>
      </c>
      <c r="D91" s="40">
        <v>42</v>
      </c>
      <c r="E91" s="40">
        <v>32</v>
      </c>
      <c r="F91" s="40">
        <v>39</v>
      </c>
      <c r="G91" s="40">
        <v>42</v>
      </c>
      <c r="H91" s="40">
        <v>21</v>
      </c>
      <c r="I91" s="40">
        <v>26</v>
      </c>
      <c r="J91" s="40">
        <v>12</v>
      </c>
      <c r="K91" s="40">
        <v>23</v>
      </c>
      <c r="L91" s="40">
        <v>34</v>
      </c>
      <c r="M91" s="40">
        <v>17</v>
      </c>
      <c r="N91" s="40">
        <v>39</v>
      </c>
      <c r="O91" s="40">
        <v>20</v>
      </c>
      <c r="P91" s="40">
        <v>53</v>
      </c>
      <c r="Q91" s="40">
        <v>39</v>
      </c>
      <c r="R91" s="40">
        <v>25</v>
      </c>
      <c r="S91" s="40">
        <v>25</v>
      </c>
      <c r="T91" s="40">
        <v>52</v>
      </c>
      <c r="U91" s="40">
        <v>15</v>
      </c>
      <c r="V91" s="40">
        <v>51</v>
      </c>
      <c r="W91" s="40">
        <v>18</v>
      </c>
      <c r="X91" s="40">
        <v>30</v>
      </c>
      <c r="Y91" s="40">
        <v>30</v>
      </c>
      <c r="Z91" s="40">
        <v>47</v>
      </c>
      <c r="AA91" s="40">
        <v>16</v>
      </c>
      <c r="AB91" s="40">
        <v>34</v>
      </c>
      <c r="AC91" s="40">
        <v>29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</row>
    <row r="92" spans="1:34" x14ac:dyDescent="0.2">
      <c r="A92" s="46">
        <v>924</v>
      </c>
      <c r="B92" s="40">
        <v>37</v>
      </c>
      <c r="C92" s="40">
        <v>21</v>
      </c>
      <c r="D92" s="40">
        <v>25</v>
      </c>
      <c r="E92" s="40">
        <v>46</v>
      </c>
      <c r="F92" s="40">
        <v>31</v>
      </c>
      <c r="G92" s="40">
        <v>22</v>
      </c>
      <c r="H92" s="40">
        <v>40</v>
      </c>
      <c r="I92" s="40">
        <v>25</v>
      </c>
      <c r="J92" s="40">
        <v>38</v>
      </c>
      <c r="K92" s="40">
        <v>6</v>
      </c>
      <c r="L92" s="40">
        <v>26</v>
      </c>
      <c r="M92" s="40">
        <v>56</v>
      </c>
      <c r="N92" s="40">
        <v>25</v>
      </c>
      <c r="O92" s="40">
        <v>35</v>
      </c>
      <c r="P92" s="40">
        <v>43</v>
      </c>
      <c r="Q92" s="40">
        <v>39</v>
      </c>
      <c r="R92" s="40">
        <v>37</v>
      </c>
      <c r="S92" s="40">
        <v>25</v>
      </c>
      <c r="T92" s="40">
        <v>14</v>
      </c>
      <c r="U92" s="40">
        <v>32</v>
      </c>
      <c r="V92" s="40">
        <v>22</v>
      </c>
      <c r="W92" s="40">
        <v>42</v>
      </c>
      <c r="X92" s="40">
        <v>8</v>
      </c>
      <c r="Y92" s="40">
        <v>29</v>
      </c>
      <c r="Z92" s="40">
        <v>27</v>
      </c>
      <c r="AA92" s="40">
        <v>30</v>
      </c>
      <c r="AB92" s="40">
        <v>39</v>
      </c>
      <c r="AC92" s="40">
        <v>14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</row>
    <row r="93" spans="1:34" x14ac:dyDescent="0.2">
      <c r="A93" s="46">
        <v>926</v>
      </c>
      <c r="B93" s="40">
        <v>26</v>
      </c>
      <c r="C93" s="40">
        <v>26</v>
      </c>
      <c r="D93" s="40">
        <v>52</v>
      </c>
      <c r="E93" s="40">
        <v>31</v>
      </c>
      <c r="F93" s="40">
        <v>24</v>
      </c>
      <c r="G93" s="40">
        <v>18</v>
      </c>
      <c r="H93" s="40">
        <v>38</v>
      </c>
      <c r="I93" s="40">
        <v>42</v>
      </c>
      <c r="J93" s="40">
        <v>15</v>
      </c>
      <c r="K93" s="40">
        <v>51</v>
      </c>
      <c r="L93" s="40">
        <v>43</v>
      </c>
      <c r="M93" s="40">
        <v>29</v>
      </c>
      <c r="N93" s="40">
        <v>31</v>
      </c>
      <c r="O93" s="40">
        <v>30</v>
      </c>
      <c r="P93" s="40">
        <v>29</v>
      </c>
      <c r="Q93" s="40">
        <v>37</v>
      </c>
      <c r="R93" s="40">
        <v>31</v>
      </c>
      <c r="S93" s="40">
        <v>9</v>
      </c>
      <c r="T93" s="40">
        <v>45</v>
      </c>
      <c r="U93" s="40">
        <v>50</v>
      </c>
      <c r="V93" s="40">
        <v>39</v>
      </c>
      <c r="W93" s="40">
        <v>42</v>
      </c>
      <c r="X93" s="40">
        <v>33</v>
      </c>
      <c r="Y93" s="40">
        <v>30</v>
      </c>
      <c r="Z93" s="40">
        <v>10</v>
      </c>
      <c r="AA93" s="40">
        <v>21</v>
      </c>
      <c r="AB93" s="40">
        <v>16</v>
      </c>
      <c r="AC93" s="40">
        <v>31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</row>
    <row r="94" spans="1:34" x14ac:dyDescent="0.2">
      <c r="A94" s="46">
        <v>957</v>
      </c>
      <c r="B94" s="40">
        <v>402</v>
      </c>
      <c r="C94" s="40">
        <v>376</v>
      </c>
      <c r="D94" s="40">
        <v>393</v>
      </c>
      <c r="E94" s="40">
        <v>399</v>
      </c>
      <c r="F94" s="40">
        <v>370</v>
      </c>
      <c r="G94" s="40">
        <v>390</v>
      </c>
      <c r="H94" s="40">
        <v>399</v>
      </c>
      <c r="I94" s="40">
        <v>393</v>
      </c>
      <c r="J94" s="40">
        <v>423</v>
      </c>
      <c r="K94" s="40">
        <v>411</v>
      </c>
      <c r="L94" s="40">
        <v>412</v>
      </c>
      <c r="M94" s="40">
        <v>371</v>
      </c>
      <c r="N94" s="40">
        <v>398</v>
      </c>
      <c r="O94" s="40">
        <v>371</v>
      </c>
      <c r="P94" s="40">
        <v>420</v>
      </c>
      <c r="Q94" s="40">
        <v>372</v>
      </c>
      <c r="R94" s="40">
        <v>404</v>
      </c>
      <c r="S94" s="40">
        <v>406</v>
      </c>
      <c r="T94" s="40">
        <v>390</v>
      </c>
      <c r="U94" s="40">
        <v>402</v>
      </c>
      <c r="V94" s="40">
        <v>371</v>
      </c>
      <c r="W94" s="40">
        <v>413</v>
      </c>
      <c r="X94" s="40">
        <v>404</v>
      </c>
      <c r="Y94" s="40">
        <v>383</v>
      </c>
      <c r="Z94" s="40">
        <v>415</v>
      </c>
      <c r="AA94" s="40">
        <v>400</v>
      </c>
      <c r="AB94" s="40">
        <v>433</v>
      </c>
      <c r="AC94" s="40">
        <v>407</v>
      </c>
      <c r="AD94" s="40">
        <v>420</v>
      </c>
      <c r="AE94" s="40">
        <v>394</v>
      </c>
      <c r="AF94" s="40">
        <v>407</v>
      </c>
      <c r="AG94" s="40">
        <v>376</v>
      </c>
      <c r="AH94" s="40">
        <v>417</v>
      </c>
    </row>
    <row r="95" spans="1:34" x14ac:dyDescent="0.2">
      <c r="A95" s="46">
        <v>977</v>
      </c>
      <c r="B95" s="40">
        <v>48</v>
      </c>
      <c r="C95" s="40">
        <v>32</v>
      </c>
      <c r="D95" s="40">
        <v>33</v>
      </c>
      <c r="E95" s="40">
        <v>24</v>
      </c>
      <c r="F95" s="40">
        <v>29</v>
      </c>
      <c r="G95" s="40">
        <v>26</v>
      </c>
      <c r="H95" s="40">
        <v>36</v>
      </c>
      <c r="I95" s="40">
        <v>61</v>
      </c>
      <c r="J95" s="40">
        <v>37</v>
      </c>
      <c r="K95" s="40">
        <v>20</v>
      </c>
      <c r="L95" s="40">
        <v>46</v>
      </c>
      <c r="M95" s="40">
        <v>22</v>
      </c>
      <c r="N95" s="40">
        <v>28</v>
      </c>
      <c r="O95" s="40">
        <v>40</v>
      </c>
      <c r="P95" s="40">
        <v>32</v>
      </c>
      <c r="Q95" s="40">
        <v>42</v>
      </c>
      <c r="R95" s="40">
        <v>18</v>
      </c>
      <c r="S95" s="40">
        <v>34</v>
      </c>
      <c r="T95" s="40">
        <v>29</v>
      </c>
      <c r="U95" s="40">
        <v>33</v>
      </c>
      <c r="V95" s="40">
        <v>60</v>
      </c>
      <c r="W95" s="40">
        <v>26</v>
      </c>
      <c r="X95" s="40">
        <v>40</v>
      </c>
      <c r="Y95" s="40">
        <v>28</v>
      </c>
      <c r="Z95" s="40">
        <v>31</v>
      </c>
      <c r="AA95" s="40">
        <v>24</v>
      </c>
      <c r="AB95" s="40">
        <v>35</v>
      </c>
      <c r="AC95" s="40">
        <v>51</v>
      </c>
      <c r="AD95" s="40">
        <v>0</v>
      </c>
      <c r="AE95" s="40">
        <v>0</v>
      </c>
      <c r="AF95" s="40">
        <v>0</v>
      </c>
      <c r="AG95" s="40">
        <v>0</v>
      </c>
      <c r="AH95" s="40">
        <v>0</v>
      </c>
    </row>
    <row r="96" spans="1:34" x14ac:dyDescent="0.2">
      <c r="A96" s="46">
        <v>981</v>
      </c>
      <c r="B96" s="40">
        <v>0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  <c r="AA96" s="40">
        <v>0</v>
      </c>
      <c r="AB96" s="40">
        <v>0</v>
      </c>
      <c r="AC96" s="40">
        <v>21</v>
      </c>
      <c r="AD96" s="40">
        <v>19</v>
      </c>
      <c r="AE96" s="40">
        <v>36</v>
      </c>
      <c r="AF96" s="40">
        <v>46</v>
      </c>
      <c r="AG96" s="40">
        <v>37</v>
      </c>
      <c r="AH96" s="40">
        <v>13</v>
      </c>
    </row>
    <row r="97" spans="1:34" x14ac:dyDescent="0.2">
      <c r="A97" s="46">
        <v>982</v>
      </c>
      <c r="B97" s="40">
        <v>0</v>
      </c>
      <c r="C97" s="40">
        <v>0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6</v>
      </c>
      <c r="AD97" s="40">
        <v>15</v>
      </c>
      <c r="AE97" s="40">
        <v>7</v>
      </c>
      <c r="AF97" s="40">
        <v>11</v>
      </c>
      <c r="AG97" s="40">
        <v>17</v>
      </c>
      <c r="AH97" s="40">
        <v>2</v>
      </c>
    </row>
    <row r="98" spans="1:34" x14ac:dyDescent="0.2">
      <c r="A98" s="46">
        <v>1004</v>
      </c>
      <c r="B98" s="40">
        <v>520</v>
      </c>
      <c r="C98" s="40">
        <v>426</v>
      </c>
      <c r="D98" s="40">
        <v>506</v>
      </c>
      <c r="E98" s="40">
        <v>504</v>
      </c>
      <c r="F98" s="40">
        <v>487</v>
      </c>
      <c r="G98" s="40">
        <v>512</v>
      </c>
      <c r="H98" s="40">
        <v>500</v>
      </c>
      <c r="I98" s="40">
        <v>485</v>
      </c>
      <c r="J98" s="40">
        <v>490</v>
      </c>
      <c r="K98" s="40">
        <v>499</v>
      </c>
      <c r="L98" s="40">
        <v>520</v>
      </c>
      <c r="M98" s="40">
        <v>541</v>
      </c>
      <c r="N98" s="40">
        <v>533</v>
      </c>
      <c r="O98" s="40">
        <v>497</v>
      </c>
      <c r="P98" s="40">
        <v>509</v>
      </c>
      <c r="Q98" s="40">
        <v>497</v>
      </c>
      <c r="R98" s="40">
        <v>473</v>
      </c>
      <c r="S98" s="40">
        <v>521</v>
      </c>
      <c r="T98" s="40">
        <v>502</v>
      </c>
      <c r="U98" s="40">
        <v>519</v>
      </c>
      <c r="V98" s="40">
        <v>486</v>
      </c>
      <c r="W98" s="40">
        <v>490</v>
      </c>
      <c r="X98" s="40">
        <v>528</v>
      </c>
      <c r="Y98" s="40">
        <v>504</v>
      </c>
      <c r="Z98" s="40">
        <v>482</v>
      </c>
      <c r="AA98" s="40">
        <v>463</v>
      </c>
      <c r="AB98" s="40">
        <v>496</v>
      </c>
      <c r="AC98" s="40">
        <v>490</v>
      </c>
      <c r="AD98" s="40">
        <v>511</v>
      </c>
      <c r="AE98" s="40">
        <v>502</v>
      </c>
      <c r="AF98" s="40">
        <v>519</v>
      </c>
      <c r="AG98" s="40">
        <v>528</v>
      </c>
      <c r="AH98" s="40">
        <v>540</v>
      </c>
    </row>
    <row r="99" spans="1:34" x14ac:dyDescent="0.2">
      <c r="A99" s="46">
        <v>1014</v>
      </c>
      <c r="B99" s="40">
        <v>1788</v>
      </c>
      <c r="C99" s="40">
        <v>1520</v>
      </c>
      <c r="D99" s="40">
        <v>1835</v>
      </c>
      <c r="E99" s="40">
        <v>1693</v>
      </c>
      <c r="F99" s="40">
        <v>1596</v>
      </c>
      <c r="G99" s="40">
        <v>1653</v>
      </c>
      <c r="H99" s="40">
        <v>1749</v>
      </c>
      <c r="I99" s="40">
        <v>1487</v>
      </c>
      <c r="J99" s="40">
        <v>1750</v>
      </c>
      <c r="K99" s="40">
        <v>1729</v>
      </c>
      <c r="L99" s="40">
        <v>1705</v>
      </c>
      <c r="M99" s="40">
        <v>1782</v>
      </c>
      <c r="N99" s="40">
        <v>1769</v>
      </c>
      <c r="O99" s="40">
        <v>1702</v>
      </c>
      <c r="P99" s="40">
        <v>1615</v>
      </c>
      <c r="Q99" s="40">
        <v>1587</v>
      </c>
      <c r="R99" s="40">
        <v>1706</v>
      </c>
      <c r="S99" s="40">
        <v>1509</v>
      </c>
      <c r="T99" s="40">
        <v>1745</v>
      </c>
      <c r="U99" s="40">
        <v>1554</v>
      </c>
      <c r="V99" s="40">
        <v>1685</v>
      </c>
      <c r="W99" s="40">
        <v>1905</v>
      </c>
      <c r="X99" s="40">
        <v>1696</v>
      </c>
      <c r="Y99" s="40">
        <v>1815</v>
      </c>
      <c r="Z99" s="40">
        <v>1690</v>
      </c>
      <c r="AA99" s="40">
        <v>1690</v>
      </c>
      <c r="AB99" s="40">
        <v>1643</v>
      </c>
      <c r="AC99" s="40">
        <v>1739</v>
      </c>
      <c r="AD99" s="40">
        <v>1647</v>
      </c>
      <c r="AE99" s="40">
        <v>1498</v>
      </c>
      <c r="AF99" s="40">
        <v>1652</v>
      </c>
      <c r="AG99" s="40">
        <v>1629</v>
      </c>
      <c r="AH99" s="40">
        <v>1502</v>
      </c>
    </row>
    <row r="100" spans="1:34" x14ac:dyDescent="0.2">
      <c r="A100" s="46">
        <v>1059</v>
      </c>
      <c r="B100" s="40">
        <v>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0</v>
      </c>
      <c r="AH100" s="40">
        <v>40</v>
      </c>
    </row>
    <row r="101" spans="1:34" x14ac:dyDescent="0.2">
      <c r="A101" s="46">
        <v>1073</v>
      </c>
      <c r="B101" s="40">
        <v>453</v>
      </c>
      <c r="C101" s="40">
        <v>407</v>
      </c>
      <c r="D101" s="40">
        <v>449</v>
      </c>
      <c r="E101" s="40">
        <v>468</v>
      </c>
      <c r="F101" s="40">
        <v>472</v>
      </c>
      <c r="G101" s="40">
        <v>444</v>
      </c>
      <c r="H101" s="40">
        <v>458</v>
      </c>
      <c r="I101" s="40">
        <v>461</v>
      </c>
      <c r="J101" s="40">
        <v>410</v>
      </c>
      <c r="K101" s="40">
        <v>467</v>
      </c>
      <c r="L101" s="40">
        <v>443</v>
      </c>
      <c r="M101" s="40">
        <v>478</v>
      </c>
      <c r="N101" s="40">
        <v>438</v>
      </c>
      <c r="O101" s="40">
        <v>412</v>
      </c>
      <c r="P101" s="40">
        <v>434</v>
      </c>
      <c r="Q101" s="40">
        <v>415</v>
      </c>
      <c r="R101" s="40">
        <v>495</v>
      </c>
      <c r="S101" s="40">
        <v>393</v>
      </c>
      <c r="T101" s="40">
        <v>487</v>
      </c>
      <c r="U101" s="40">
        <v>449</v>
      </c>
      <c r="V101" s="40">
        <v>456</v>
      </c>
      <c r="W101" s="40">
        <v>475</v>
      </c>
      <c r="X101" s="40">
        <v>459</v>
      </c>
      <c r="Y101" s="40">
        <v>422</v>
      </c>
      <c r="Z101" s="40">
        <v>419</v>
      </c>
      <c r="AA101" s="40">
        <v>427</v>
      </c>
      <c r="AB101" s="40">
        <v>478</v>
      </c>
      <c r="AC101" s="40">
        <v>461</v>
      </c>
      <c r="AD101" s="40">
        <v>458</v>
      </c>
      <c r="AE101" s="40">
        <v>435</v>
      </c>
      <c r="AF101" s="40">
        <v>448</v>
      </c>
      <c r="AG101" s="40">
        <v>498</v>
      </c>
      <c r="AH101" s="40">
        <v>446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8D69-10B3-6845-B8DC-765B9A51309F}">
  <dimension ref="A1:F4"/>
  <sheetViews>
    <sheetView workbookViewId="0">
      <selection activeCell="K24" sqref="K24"/>
    </sheetView>
  </sheetViews>
  <sheetFormatPr baseColWidth="10" defaultRowHeight="16" x14ac:dyDescent="0.2"/>
  <cols>
    <col min="1" max="1" width="10.7109375" style="10"/>
    <col min="2" max="2" width="11.140625" style="10" bestFit="1" customWidth="1"/>
    <col min="3" max="16384" width="10.7109375" style="10"/>
  </cols>
  <sheetData>
    <row r="1" spans="1:6" x14ac:dyDescent="0.2">
      <c r="A1" s="10" t="s">
        <v>284</v>
      </c>
      <c r="B1" s="10">
        <v>90</v>
      </c>
      <c r="D1" s="28" t="s">
        <v>257</v>
      </c>
      <c r="E1" s="59" t="s">
        <v>286</v>
      </c>
    </row>
    <row r="2" spans="1:6" x14ac:dyDescent="0.2">
      <c r="A2" s="10" t="s">
        <v>283</v>
      </c>
      <c r="B2" s="10">
        <v>20</v>
      </c>
      <c r="D2" s="10" t="s">
        <v>235</v>
      </c>
      <c r="E2" s="22">
        <v>0.98</v>
      </c>
    </row>
    <row r="3" spans="1:6" x14ac:dyDescent="0.2">
      <c r="A3" s="10" t="s">
        <v>285</v>
      </c>
      <c r="B3" s="23">
        <f>DATE(2017,9,30)</f>
        <v>43008</v>
      </c>
      <c r="D3" s="10" t="s">
        <v>236</v>
      </c>
      <c r="E3" s="22">
        <v>0.95</v>
      </c>
      <c r="F3" s="22"/>
    </row>
    <row r="4" spans="1:6" x14ac:dyDescent="0.2">
      <c r="D4" s="10" t="s">
        <v>237</v>
      </c>
      <c r="E4" s="22">
        <v>0.9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EAF4-6FA3-A04D-B8FE-C954815D92DC}">
  <sheetPr>
    <pageSetUpPr fitToPage="1"/>
  </sheetPr>
  <dimension ref="A1:J50"/>
  <sheetViews>
    <sheetView showGridLines="0" zoomScale="96" zoomScaleNormal="96" workbookViewId="0">
      <selection activeCell="U30" sqref="U30"/>
    </sheetView>
  </sheetViews>
  <sheetFormatPr baseColWidth="10" defaultRowHeight="19" x14ac:dyDescent="0.25"/>
  <cols>
    <col min="1" max="1" width="14.28515625" customWidth="1"/>
    <col min="2" max="2" width="35.85546875" customWidth="1"/>
    <col min="3" max="3" width="14" style="7" customWidth="1"/>
    <col min="4" max="4" width="17.42578125" bestFit="1" customWidth="1"/>
    <col min="5" max="5" width="9.85546875" customWidth="1"/>
    <col min="6" max="6" width="11.85546875" customWidth="1"/>
    <col min="7" max="7" width="8.5703125" customWidth="1"/>
    <col min="8" max="8" width="19" customWidth="1"/>
    <col min="9" max="9" width="17.42578125" customWidth="1"/>
    <col min="10" max="10" width="14.85546875" customWidth="1"/>
  </cols>
  <sheetData>
    <row r="1" spans="1:10" s="2" customFormat="1" ht="24" x14ac:dyDescent="0.3">
      <c r="A1" s="2" t="s">
        <v>327</v>
      </c>
      <c r="C1" s="6"/>
    </row>
    <row r="2" spans="1:10" s="10" customFormat="1" ht="16" x14ac:dyDescent="0.2">
      <c r="A2" s="10" t="str">
        <f>"Data through "&amp;TEXT(AsOf,"d mmm yyyy")&amp;" · 100 products · On-hand stock simulated"</f>
        <v>Data through 30 Sep 2017 · 100 products · On-hand stock simulated</v>
      </c>
      <c r="C2" s="11"/>
    </row>
    <row r="3" spans="1:10" s="10" customFormat="1" ht="16" x14ac:dyDescent="0.2">
      <c r="A3" s="10" t="str">
        <f>COUNTIF(Sim[Flag],"BELOW-ROP")&amp;" products need reordering, including "&amp;COUNTIFS(Sim[Flag],"BELOW-ROP",Sim[Class],"A")&amp;" of the 9 A items. "&amp;TEXT(D5,"$#,##0")&amp;" ("&amp;TEXT(F5,"0%")&amp;" of inventory value) sits in slow or unsold stock. If supplier lead time were 30 days, "&amp;I23&amp;" of 40 active products would need reordering."</f>
        <v>11 products need reordering, including 5 of the 9 A items. $131,025 (18% of inventory value) sits in slow or unsold stock. If supplier lead time were 30 days, 21 of 40 active products would need reordering.</v>
      </c>
      <c r="C3" s="11"/>
    </row>
    <row r="4" spans="1:10" s="3" customFormat="1" ht="14" x14ac:dyDescent="0.2">
      <c r="B4" s="3" t="s">
        <v>359</v>
      </c>
      <c r="C4" s="8"/>
      <c r="D4" s="3" t="s">
        <v>328</v>
      </c>
      <c r="F4" s="3" t="s">
        <v>329</v>
      </c>
      <c r="H4" s="3" t="s">
        <v>330</v>
      </c>
      <c r="J4" s="3" t="s">
        <v>331</v>
      </c>
    </row>
    <row r="5" spans="1:10" s="4" customFormat="1" ht="27" x14ac:dyDescent="0.35">
      <c r="B5" s="71" cm="1">
        <f t="array" ref="B5">SUMPRODUCT((Sim[Ending on-hand]&gt;0)*Sim[Ending on-hand]*Sim[Unit price])</f>
        <v>718402.43110473978</v>
      </c>
      <c r="C5" s="9"/>
      <c r="D5" s="71">
        <f>SUM(Sim[OverStock $])</f>
        <v>131025.33857405087</v>
      </c>
      <c r="F5" s="5">
        <f>D5/B5</f>
        <v>0.18238431956941412</v>
      </c>
      <c r="H5" s="4" t="str">
        <f>COUNTIFS(Sim[Flag],"BELOW-ROP",Sim[Class],"A")&amp;" of 9"</f>
        <v>5 of 9</v>
      </c>
      <c r="J5" s="4">
        <f>COUNTIF(Sim[Sept units],0)</f>
        <v>47</v>
      </c>
    </row>
    <row r="8" spans="1:10" x14ac:dyDescent="0.25">
      <c r="A8" s="10" t="s">
        <v>267</v>
      </c>
      <c r="B8" s="12" t="s">
        <v>335</v>
      </c>
      <c r="C8" s="58" t="s">
        <v>292</v>
      </c>
    </row>
    <row r="9" spans="1:10" x14ac:dyDescent="0.25">
      <c r="A9" s="10" t="s">
        <v>332</v>
      </c>
      <c r="B9" s="10">
        <f>COUNTIF(Sim[Flag],A9)</f>
        <v>11</v>
      </c>
      <c r="C9" s="72">
        <f>SUMIFS(Sim[OverStock $],Sim[Flag],A9)</f>
        <v>0</v>
      </c>
    </row>
    <row r="10" spans="1:10" x14ac:dyDescent="0.25">
      <c r="A10" s="10" t="s">
        <v>333</v>
      </c>
      <c r="B10" s="10">
        <f>COUNTIF(Sim[Flag],A10)</f>
        <v>19</v>
      </c>
      <c r="C10" s="72">
        <f>SUMIFS(Sim[OverStock $],Sim[Flag],A10)</f>
        <v>120987.6329304339</v>
      </c>
    </row>
    <row r="11" spans="1:10" x14ac:dyDescent="0.25">
      <c r="A11" s="10" t="s">
        <v>334</v>
      </c>
      <c r="B11" s="10">
        <f>COUNTIF(Sim[Flag],A11)</f>
        <v>0</v>
      </c>
      <c r="C11" s="72">
        <f>SUMIFS(Sim[OverStock $],Sim[Flag],A11)</f>
        <v>0</v>
      </c>
    </row>
    <row r="12" spans="1:10" x14ac:dyDescent="0.25">
      <c r="A12" s="10" t="s">
        <v>270</v>
      </c>
      <c r="B12" s="10">
        <f>COUNTIF(Sim[Flag],A12)</f>
        <v>2</v>
      </c>
      <c r="C12" s="72">
        <f>SUMIFS(Sim[OverStock $],Sim[Flag],A12)</f>
        <v>10037.705643616959</v>
      </c>
    </row>
    <row r="13" spans="1:10" x14ac:dyDescent="0.25">
      <c r="A13" s="10" t="s">
        <v>56</v>
      </c>
      <c r="B13" s="10">
        <f>COUNTIF(Sim[Flag],A13)</f>
        <v>10</v>
      </c>
      <c r="C13" s="72">
        <f>SUMIFS(Sim[OverStock $],Sim[Flag],A13)</f>
        <v>0</v>
      </c>
    </row>
    <row r="14" spans="1:10" x14ac:dyDescent="0.25">
      <c r="A14" s="10" t="s">
        <v>271</v>
      </c>
      <c r="B14" s="10">
        <f>COUNTIF(Sim[Flag],A14)</f>
        <v>13</v>
      </c>
      <c r="C14" s="72">
        <f>SUMIFS(Sim[OverStock $],Sim[Flag],A14)</f>
        <v>0</v>
      </c>
    </row>
    <row r="15" spans="1:10" x14ac:dyDescent="0.25">
      <c r="A15" s="10" t="s">
        <v>269</v>
      </c>
      <c r="B15" s="10">
        <f>COUNTIF(Sim[Flag],A15)</f>
        <v>45</v>
      </c>
      <c r="C15" s="72">
        <f>SUMIFS(Sim[OverStock $],Sim[Flag],A15)</f>
        <v>0</v>
      </c>
    </row>
    <row r="16" spans="1:10" x14ac:dyDescent="0.25">
      <c r="A16" s="10" t="s">
        <v>258</v>
      </c>
      <c r="B16" s="10">
        <f>SUM(B9:B15)</f>
        <v>100</v>
      </c>
      <c r="C16" s="72">
        <f>SUM(C9:C15)</f>
        <v>131025.33857405087</v>
      </c>
    </row>
    <row r="19" spans="1:10" x14ac:dyDescent="0.25">
      <c r="A19" s="14" t="s">
        <v>336</v>
      </c>
      <c r="H19" s="14" t="s">
        <v>340</v>
      </c>
    </row>
    <row r="20" spans="1:10" s="10" customFormat="1" ht="16" x14ac:dyDescent="0.2">
      <c r="A20" s="12" t="s">
        <v>361</v>
      </c>
      <c r="B20" s="10" t="s">
        <v>337</v>
      </c>
      <c r="C20" s="11" t="s">
        <v>257</v>
      </c>
      <c r="D20" s="12" t="s">
        <v>360</v>
      </c>
      <c r="E20" s="12" t="s">
        <v>281</v>
      </c>
      <c r="F20" s="12" t="s">
        <v>338</v>
      </c>
      <c r="H20" s="10" t="s">
        <v>358</v>
      </c>
      <c r="I20" s="12" t="s">
        <v>343</v>
      </c>
      <c r="J20" s="12" t="s">
        <v>330</v>
      </c>
    </row>
    <row r="21" spans="1:10" s="10" customFormat="1" ht="16" x14ac:dyDescent="0.2">
      <c r="A21" s="10" cm="1">
        <f t="array" ref="A21:F31">_xlfn.LET(_xlpm.d,_xlfn.HSTACK(Sim[Product ID],Sim[Product name],Sim[Class],ROUND(Sim[Ending on-hand],0),Sim[ROP],Sim[ROP]-ROUND(Sim[Ending on-hand],0)),_xlfn._xlws.SORT(_xlfn._xlws.FILTER(_xlpm.d,Sim[Flag]="BELOW-ROP"),{3,6},{1,-1}))</f>
        <v>365</v>
      </c>
      <c r="B21" s="10" t="str">
        <v>Perfect Fitness Perfect Rip Deck</v>
      </c>
      <c r="C21" s="11" t="str">
        <v>A</v>
      </c>
      <c r="D21" s="10">
        <v>-942</v>
      </c>
      <c r="E21" s="10">
        <v>318</v>
      </c>
      <c r="F21" s="10">
        <v>1260</v>
      </c>
      <c r="H21" s="12" t="s">
        <v>341</v>
      </c>
      <c r="I21" s="10">
        <f>COUNTIF(Sim[Flag],"BELOW-ROP")</f>
        <v>11</v>
      </c>
      <c r="J21" s="10">
        <f>COUNTIFS(Sim[Flag],"BELOW-ROP",Sim[Class],"A")</f>
        <v>5</v>
      </c>
    </row>
    <row r="22" spans="1:10" s="10" customFormat="1" ht="16" x14ac:dyDescent="0.2">
      <c r="A22" s="10">
        <v>191</v>
      </c>
      <c r="B22" s="10" t="str">
        <v>Nike Men's Free 5.0+ Running Shoe</v>
      </c>
      <c r="C22" s="11" t="str">
        <v>A</v>
      </c>
      <c r="D22" s="10">
        <v>-609</v>
      </c>
      <c r="E22" s="10">
        <v>148</v>
      </c>
      <c r="F22" s="10">
        <v>757</v>
      </c>
      <c r="H22" s="10">
        <v>14</v>
      </c>
      <c r="I22" s="10" cm="1">
        <f t="array" ref="I22">SUMPRODUCT(((Sim[Flag]="OK")+(Sim[Flag]="BELOW-ROP")+(Sim[Flag]="SLOW-MOVING")+(Sim[Flag]="EXCESS"))*(Sim[Ending on-hand]&lt;=ROUNDUP(Sim[Avg daily demand]*H22+ROUNDUP(Sim[Z]*Sim[SigmaDaily]*SQRT(H22),0),0)))</f>
        <v>16</v>
      </c>
      <c r="J22" s="10" cm="1">
        <f t="array" ref="J22">SUMPRODUCT(((Sim[Flag]="OK")+(Sim[Flag]="BELOW-ROP")+(Sim[Flag]="SLOW-MOVING")+(Sim[Flag]="EXCESS"))*(Sim[Ending on-hand]&lt;=ROUNDUP(Sim[Avg daily demand]*H22+ROUNDUP(Sim[Z]*Sim[SigmaDaily]*SQRT(H22),0),0))*(Sim[Class]="A"))</f>
        <v>6</v>
      </c>
    </row>
    <row r="23" spans="1:10" s="10" customFormat="1" ht="16" x14ac:dyDescent="0.2">
      <c r="A23" s="10">
        <v>1014</v>
      </c>
      <c r="B23" s="10" t="str">
        <v>O'Brien Men's Neoprene Life Vest</v>
      </c>
      <c r="C23" s="11" t="str">
        <v>A</v>
      </c>
      <c r="D23" s="10">
        <v>-359</v>
      </c>
      <c r="E23" s="10">
        <v>200</v>
      </c>
      <c r="F23" s="10">
        <v>559</v>
      </c>
      <c r="H23" s="10">
        <v>30</v>
      </c>
      <c r="I23" s="10" cm="1">
        <f t="array" ref="I23">SUMPRODUCT(((Sim[Flag]="OK")+(Sim[Flag]="BELOW-ROP")+(Sim[Flag]="SLOW-MOVING")+(Sim[Flag]="EXCESS"))*(Sim[Ending on-hand]&lt;=ROUNDUP(Sim[Avg daily demand]*H23+ROUNDUP(Sim[Z]*Sim[SigmaDaily]*SQRT(H23),0),0)))</f>
        <v>21</v>
      </c>
      <c r="J23" s="10" cm="1">
        <f t="array" ref="J23">SUMPRODUCT(((Sim[Flag]="OK")+(Sim[Flag]="BELOW-ROP")+(Sim[Flag]="SLOW-MOVING")+(Sim[Flag]="EXCESS"))*(Sim[Ending on-hand]&lt;=ROUNDUP(Sim[Avg daily demand]*H23+ROUNDUP(Sim[Z]*Sim[SigmaDaily]*SQRT(H23),0),0))*(Sim[Class]="A"))</f>
        <v>6</v>
      </c>
    </row>
    <row r="24" spans="1:10" s="10" customFormat="1" ht="16" x14ac:dyDescent="0.2">
      <c r="A24" s="10">
        <v>1004</v>
      </c>
      <c r="B24" s="10" t="str">
        <v>Field &amp; Stream Sportsman 16 Gun Fire Safe</v>
      </c>
      <c r="C24" s="11" t="str">
        <v>A</v>
      </c>
      <c r="D24" s="10">
        <v>-18</v>
      </c>
      <c r="E24" s="10">
        <v>58</v>
      </c>
      <c r="F24" s="10">
        <v>76</v>
      </c>
      <c r="H24" s="10" t="s">
        <v>342</v>
      </c>
    </row>
    <row r="25" spans="1:10" s="10" customFormat="1" ht="16" x14ac:dyDescent="0.2">
      <c r="A25" s="10">
        <v>502</v>
      </c>
      <c r="B25" s="10" t="str">
        <v>Nike Men's Dri-FIT Victory Golf Polo</v>
      </c>
      <c r="C25" s="11" t="str">
        <v>A</v>
      </c>
      <c r="D25" s="10">
        <v>152</v>
      </c>
      <c r="E25" s="10">
        <v>210</v>
      </c>
      <c r="F25" s="10">
        <v>58</v>
      </c>
    </row>
    <row r="26" spans="1:10" s="10" customFormat="1" ht="16" x14ac:dyDescent="0.2">
      <c r="A26" s="10">
        <v>646</v>
      </c>
      <c r="B26" s="10" t="str">
        <v>Merrell Women's Grassbow Sport Hiking Shoe</v>
      </c>
      <c r="C26" s="11" t="str">
        <v>B</v>
      </c>
      <c r="D26" s="10">
        <v>0</v>
      </c>
      <c r="E26" s="10">
        <v>12</v>
      </c>
      <c r="F26" s="10">
        <v>12</v>
      </c>
    </row>
    <row r="27" spans="1:10" s="10" customFormat="1" ht="16" x14ac:dyDescent="0.2">
      <c r="A27" s="10">
        <v>724</v>
      </c>
      <c r="B27" s="10" t="str">
        <v>LIJA Women's Mid-Length Panel Golf Shorts</v>
      </c>
      <c r="C27" s="11" t="str">
        <v>B</v>
      </c>
      <c r="D27" s="10">
        <v>8</v>
      </c>
      <c r="E27" s="10">
        <v>12</v>
      </c>
      <c r="F27" s="10">
        <v>4</v>
      </c>
    </row>
    <row r="28" spans="1:10" s="10" customFormat="1" ht="16" x14ac:dyDescent="0.2">
      <c r="A28" s="10">
        <v>311</v>
      </c>
      <c r="B28" s="10" t="str">
        <v>Polar Loop Activity Tracker</v>
      </c>
      <c r="C28" s="11" t="str">
        <v>C</v>
      </c>
      <c r="D28" s="10">
        <v>-1</v>
      </c>
      <c r="E28" s="10">
        <v>3</v>
      </c>
      <c r="F28" s="10">
        <v>4</v>
      </c>
    </row>
    <row r="29" spans="1:10" s="10" customFormat="1" ht="16" x14ac:dyDescent="0.2">
      <c r="A29" s="10">
        <v>982</v>
      </c>
      <c r="B29" s="10" t="str">
        <v>insta-bed Neverflat Air Mattress</v>
      </c>
      <c r="C29" s="11" t="str">
        <v>C</v>
      </c>
      <c r="D29" s="10">
        <v>3</v>
      </c>
      <c r="E29" s="10">
        <v>4</v>
      </c>
      <c r="F29" s="10">
        <v>1</v>
      </c>
    </row>
    <row r="30" spans="1:10" s="10" customFormat="1" ht="16" x14ac:dyDescent="0.2">
      <c r="A30" s="10">
        <v>647</v>
      </c>
      <c r="B30" s="10" t="str">
        <v>Merrell Women's Siren Mid Waterproof Hiking B</v>
      </c>
      <c r="C30" s="11" t="str">
        <v>C</v>
      </c>
      <c r="D30" s="10">
        <v>4</v>
      </c>
      <c r="E30" s="10">
        <v>5</v>
      </c>
      <c r="F30" s="10">
        <v>1</v>
      </c>
    </row>
    <row r="31" spans="1:10" s="10" customFormat="1" ht="16" x14ac:dyDescent="0.2">
      <c r="A31" s="10">
        <v>773</v>
      </c>
      <c r="B31" s="10" t="str">
        <v>Titleist Small Wheeled Travel Cover</v>
      </c>
      <c r="C31" s="11" t="str">
        <v>C</v>
      </c>
      <c r="D31" s="10">
        <v>3</v>
      </c>
      <c r="E31" s="10">
        <v>4</v>
      </c>
      <c r="F31" s="10">
        <v>1</v>
      </c>
    </row>
    <row r="32" spans="1:10" s="10" customFormat="1" ht="16" x14ac:dyDescent="0.2">
      <c r="C32" s="11"/>
    </row>
    <row r="34" spans="1:6" x14ac:dyDescent="0.25">
      <c r="A34" s="14" t="s">
        <v>339</v>
      </c>
    </row>
    <row r="35" spans="1:6" x14ac:dyDescent="0.25">
      <c r="A35" s="12" t="s">
        <v>361</v>
      </c>
      <c r="B35" s="10" t="s">
        <v>337</v>
      </c>
      <c r="C35" s="11" t="s">
        <v>257</v>
      </c>
      <c r="D35" s="10" t="s">
        <v>282</v>
      </c>
      <c r="E35" s="12" t="s">
        <v>287</v>
      </c>
      <c r="F35" s="12" t="s">
        <v>292</v>
      </c>
    </row>
    <row r="36" spans="1:6" x14ac:dyDescent="0.25">
      <c r="A36" s="10" cm="1">
        <f t="array" ref="A36:F45">_xlfn.LET(_xlpm.d,_xlfn.HSTACK(Sim[Product ID],Sim[Product name],Sim[Class],Sim[Flag],Sim[Sept units],Sim[OverStock $]),_xlfn.TAKE(_xlfn._xlws.SORT(_xlfn._xlws.FILTER(_xlpm.d,Sim[OverStock $]&gt;0),6,-1),10))</f>
        <v>216</v>
      </c>
      <c r="B36" s="10" t="str">
        <v>Yakima DoubleDown Ace Hitch Mount 4-Bike Rack</v>
      </c>
      <c r="C36" s="11" t="str">
        <v>C</v>
      </c>
      <c r="D36" s="10" t="str">
        <v>SLOW-MOVING</v>
      </c>
      <c r="E36" s="10">
        <v>3</v>
      </c>
      <c r="F36" s="73">
        <v>11241.391304347826</v>
      </c>
    </row>
    <row r="37" spans="1:6" x14ac:dyDescent="0.25">
      <c r="A37" s="10">
        <v>359</v>
      </c>
      <c r="B37" s="10" t="str">
        <v>Nike Men's Free TR 5.0 TB Training Shoe</v>
      </c>
      <c r="C37" s="11" t="str">
        <v>B</v>
      </c>
      <c r="D37" s="10" t="str">
        <v>SLOW-MOVING</v>
      </c>
      <c r="E37" s="10">
        <v>13</v>
      </c>
      <c r="F37" s="73">
        <v>10766.314334795219</v>
      </c>
    </row>
    <row r="38" spans="1:6" x14ac:dyDescent="0.25">
      <c r="A38" s="10">
        <v>306</v>
      </c>
      <c r="B38" s="10" t="str">
        <v>Polar FT4 Heart Rate Monitor</v>
      </c>
      <c r="C38" s="11" t="str">
        <v>B</v>
      </c>
      <c r="D38" s="10" t="str">
        <v>SLOW-MOVING</v>
      </c>
      <c r="E38" s="10">
        <v>18</v>
      </c>
      <c r="F38" s="73">
        <v>10631.53572543848</v>
      </c>
    </row>
    <row r="39" spans="1:6" x14ac:dyDescent="0.25">
      <c r="A39" s="10">
        <v>677</v>
      </c>
      <c r="B39" s="10" t="str">
        <v>TaylorMade White Smoke IN-12 Putter</v>
      </c>
      <c r="C39" s="11" t="str">
        <v>B</v>
      </c>
      <c r="D39" s="10" t="str">
        <v>SLOW-MOVING</v>
      </c>
      <c r="E39" s="10">
        <v>13</v>
      </c>
      <c r="F39" s="73">
        <v>10433.738907130435</v>
      </c>
    </row>
    <row r="40" spans="1:6" x14ac:dyDescent="0.25">
      <c r="A40" s="10">
        <v>671</v>
      </c>
      <c r="B40" s="10" t="str">
        <v>Cleveland Golf Collegiate My Custom Wedge 588</v>
      </c>
      <c r="C40" s="11" t="str">
        <v>C</v>
      </c>
      <c r="D40" s="10" t="str">
        <v>SLOW-MOVING</v>
      </c>
      <c r="E40" s="10">
        <v>2</v>
      </c>
      <c r="F40" s="73">
        <v>10015.610262326087</v>
      </c>
    </row>
    <row r="41" spans="1:6" x14ac:dyDescent="0.25">
      <c r="A41" s="10">
        <v>295</v>
      </c>
      <c r="B41" s="10" t="str">
        <v>Fitbit The One Wireless Activity &amp; Sleep Trac</v>
      </c>
      <c r="C41" s="11" t="str">
        <v>B</v>
      </c>
      <c r="D41" s="10" t="str">
        <v>SLOW-MOVING</v>
      </c>
      <c r="E41" s="10">
        <v>18</v>
      </c>
      <c r="F41" s="73">
        <v>10012.382303165215</v>
      </c>
    </row>
    <row r="42" spans="1:6" x14ac:dyDescent="0.25">
      <c r="A42" s="10">
        <v>625</v>
      </c>
      <c r="B42" s="10" t="str">
        <v>Nike Men's Kobe IX Elite Low Basketball Shoe</v>
      </c>
      <c r="C42" s="11" t="str">
        <v>C</v>
      </c>
      <c r="D42" s="10" t="str">
        <v>SLOW-MOVING</v>
      </c>
      <c r="E42" s="10">
        <v>2</v>
      </c>
      <c r="F42" s="73">
        <v>9982.1098397391306</v>
      </c>
    </row>
    <row r="43" spans="1:6" x14ac:dyDescent="0.25">
      <c r="A43" s="10">
        <v>691</v>
      </c>
      <c r="B43" s="10" t="str">
        <v>MDGolf Pittsburgh Penguins Putter</v>
      </c>
      <c r="C43" s="11" t="str">
        <v>C</v>
      </c>
      <c r="D43" s="10" t="str">
        <v>No recent demand</v>
      </c>
      <c r="E43" s="10">
        <v>0</v>
      </c>
      <c r="F43" s="73">
        <v>9317.0958376930448</v>
      </c>
    </row>
    <row r="44" spans="1:6" x14ac:dyDescent="0.25">
      <c r="A44" s="10">
        <v>786</v>
      </c>
      <c r="B44" s="10" t="str">
        <v>TaylorMade 2014 Purelite Stand Bag</v>
      </c>
      <c r="C44" s="11" t="str">
        <v>C</v>
      </c>
      <c r="D44" s="10" t="str">
        <v>SLOW-MOVING</v>
      </c>
      <c r="E44" s="10">
        <v>3</v>
      </c>
      <c r="F44" s="73">
        <v>9179.4902804999983</v>
      </c>
    </row>
    <row r="45" spans="1:6" x14ac:dyDescent="0.25">
      <c r="A45" s="10">
        <v>666</v>
      </c>
      <c r="B45" s="10" t="str">
        <v>Merrell Men's All Out Flash Trail Running Sho</v>
      </c>
      <c r="C45" s="11" t="str">
        <v>C</v>
      </c>
      <c r="D45" s="10" t="str">
        <v>SLOW-MOVING</v>
      </c>
      <c r="E45" s="10">
        <v>4</v>
      </c>
      <c r="F45" s="73">
        <v>6408.1129211304351</v>
      </c>
    </row>
    <row r="46" spans="1:6" x14ac:dyDescent="0.25">
      <c r="A46" s="10"/>
      <c r="B46" s="10"/>
      <c r="C46" s="11"/>
      <c r="D46" s="10"/>
      <c r="E46" s="10"/>
      <c r="F46" s="10"/>
    </row>
    <row r="47" spans="1:6" x14ac:dyDescent="0.25">
      <c r="A47" s="10"/>
      <c r="B47" s="10"/>
      <c r="C47" s="11"/>
      <c r="D47" s="10"/>
      <c r="E47" s="10"/>
      <c r="F47" s="10"/>
    </row>
    <row r="48" spans="1:6" s="1" customFormat="1" ht="14" x14ac:dyDescent="0.2">
      <c r="A48" s="1" t="s">
        <v>344</v>
      </c>
      <c r="C48" s="15"/>
    </row>
    <row r="49" spans="1:6" s="1" customFormat="1" ht="14" x14ac:dyDescent="0.2">
      <c r="A49" s="1" t="s">
        <v>345</v>
      </c>
      <c r="C49" s="15"/>
    </row>
    <row r="50" spans="1:6" x14ac:dyDescent="0.25">
      <c r="A50" s="10"/>
      <c r="B50" s="10"/>
      <c r="C50" s="11"/>
      <c r="D50" s="10"/>
      <c r="E50" s="10"/>
      <c r="F50" s="10"/>
    </row>
  </sheetData>
  <pageMargins left="0.7" right="0.7" top="0.75" bottom="0.75" header="0.3" footer="0.3"/>
  <pageSetup scale="60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6911-6D84-E748-89E8-1C132D442F3E}">
  <dimension ref="A1:E59"/>
  <sheetViews>
    <sheetView tabSelected="1" workbookViewId="0">
      <selection activeCell="C53" sqref="C53"/>
    </sheetView>
  </sheetViews>
  <sheetFormatPr baseColWidth="10" defaultRowHeight="16" x14ac:dyDescent="0.25"/>
  <cols>
    <col min="1" max="1" width="20.85546875" style="16" customWidth="1"/>
    <col min="2" max="2" width="26" style="16" customWidth="1"/>
    <col min="3" max="3" width="42.85546875" style="16" customWidth="1"/>
    <col min="4" max="4" width="26.28515625" style="16" customWidth="1"/>
    <col min="5" max="5" width="34.5703125" style="16" customWidth="1"/>
    <col min="6" max="16384" width="10.7109375" style="16"/>
  </cols>
  <sheetData>
    <row r="1" spans="1:5" ht="17" x14ac:dyDescent="0.25">
      <c r="A1" s="16" t="s">
        <v>102</v>
      </c>
    </row>
    <row r="3" spans="1:5" ht="51" x14ac:dyDescent="0.25">
      <c r="A3" s="17" t="s">
        <v>103</v>
      </c>
      <c r="B3" s="18" t="s">
        <v>104</v>
      </c>
      <c r="C3" s="18"/>
      <c r="D3" s="18"/>
      <c r="E3" s="18"/>
    </row>
    <row r="4" spans="1:5" ht="42" customHeight="1" x14ac:dyDescent="0.25">
      <c r="A4" s="17" t="s">
        <v>105</v>
      </c>
      <c r="B4" s="18" t="s">
        <v>106</v>
      </c>
      <c r="C4" s="18"/>
      <c r="D4" s="18"/>
      <c r="E4" s="18"/>
    </row>
    <row r="5" spans="1:5" ht="42" customHeight="1" x14ac:dyDescent="0.25">
      <c r="A5" s="17" t="s">
        <v>107</v>
      </c>
      <c r="B5" s="18" t="s">
        <v>108</v>
      </c>
      <c r="C5" s="18"/>
      <c r="D5" s="18"/>
      <c r="E5" s="18"/>
    </row>
    <row r="6" spans="1:5" ht="68" x14ac:dyDescent="0.25">
      <c r="A6" s="17" t="s">
        <v>109</v>
      </c>
      <c r="B6" s="18" t="s">
        <v>112</v>
      </c>
      <c r="C6" s="18"/>
      <c r="D6" s="18"/>
      <c r="E6" s="18"/>
    </row>
    <row r="7" spans="1:5" ht="17" x14ac:dyDescent="0.25">
      <c r="A7" s="17" t="s">
        <v>110</v>
      </c>
      <c r="B7" s="18" t="s">
        <v>113</v>
      </c>
    </row>
    <row r="8" spans="1:5" ht="17" x14ac:dyDescent="0.25">
      <c r="A8" s="17" t="s">
        <v>111</v>
      </c>
      <c r="B8" s="18" t="s">
        <v>370</v>
      </c>
    </row>
    <row r="11" spans="1:5" ht="34" x14ac:dyDescent="0.25">
      <c r="A11" s="16" t="s">
        <v>114</v>
      </c>
    </row>
    <row r="12" spans="1:5" ht="17" x14ac:dyDescent="0.25">
      <c r="A12" s="16" t="s">
        <v>115</v>
      </c>
      <c r="B12" s="16" t="s">
        <v>117</v>
      </c>
      <c r="C12" s="16" t="s">
        <v>118</v>
      </c>
      <c r="D12" s="16" t="s">
        <v>119</v>
      </c>
      <c r="E12" s="16" t="s">
        <v>120</v>
      </c>
    </row>
    <row r="13" spans="1:5" ht="17" x14ac:dyDescent="0.25">
      <c r="A13" s="16" t="s">
        <v>116</v>
      </c>
      <c r="B13" s="16" t="s">
        <v>121</v>
      </c>
    </row>
    <row r="14" spans="1:5" ht="17" x14ac:dyDescent="0.25">
      <c r="A14" s="16" t="s">
        <v>122</v>
      </c>
      <c r="B14" s="16" t="s">
        <v>123</v>
      </c>
    </row>
    <row r="15" spans="1:5" ht="34" x14ac:dyDescent="0.25">
      <c r="A15" s="16" t="s">
        <v>124</v>
      </c>
      <c r="B15" s="16" t="s">
        <v>125</v>
      </c>
      <c r="C15" s="16" t="s">
        <v>127</v>
      </c>
      <c r="D15" s="16" t="s">
        <v>126</v>
      </c>
      <c r="E15" s="16" t="s">
        <v>128</v>
      </c>
    </row>
    <row r="16" spans="1:5" ht="34" x14ac:dyDescent="0.25">
      <c r="A16" s="16" t="s">
        <v>129</v>
      </c>
      <c r="B16" s="16" t="s">
        <v>130</v>
      </c>
      <c r="C16" s="16" t="s">
        <v>131</v>
      </c>
      <c r="D16" s="16" t="s">
        <v>126</v>
      </c>
      <c r="E16" s="16" t="s">
        <v>132</v>
      </c>
    </row>
    <row r="17" spans="1:5" ht="34" x14ac:dyDescent="0.25">
      <c r="A17" s="16" t="s">
        <v>133</v>
      </c>
      <c r="B17" s="16" t="s">
        <v>134</v>
      </c>
      <c r="C17" s="16" t="s">
        <v>135</v>
      </c>
      <c r="D17" s="16" t="s">
        <v>136</v>
      </c>
      <c r="E17" s="16" t="s">
        <v>137</v>
      </c>
    </row>
    <row r="18" spans="1:5" ht="34" x14ac:dyDescent="0.25">
      <c r="A18" s="16" t="s">
        <v>138</v>
      </c>
      <c r="B18" s="16" t="s">
        <v>139</v>
      </c>
      <c r="C18" s="16" t="s">
        <v>140</v>
      </c>
      <c r="D18" s="16" t="s">
        <v>141</v>
      </c>
      <c r="E18" s="16" t="s">
        <v>142</v>
      </c>
    </row>
    <row r="19" spans="1:5" ht="85" x14ac:dyDescent="0.25">
      <c r="A19" s="16" t="s">
        <v>143</v>
      </c>
      <c r="B19" s="16" t="s">
        <v>144</v>
      </c>
      <c r="C19" s="16" t="s">
        <v>145</v>
      </c>
      <c r="D19" s="16" t="s">
        <v>136</v>
      </c>
      <c r="E19" s="16" t="s">
        <v>146</v>
      </c>
    </row>
    <row r="20" spans="1:5" ht="51" x14ac:dyDescent="0.25">
      <c r="A20" s="16" t="s">
        <v>147</v>
      </c>
      <c r="B20" s="16" t="s">
        <v>148</v>
      </c>
      <c r="C20" s="16" t="s">
        <v>149</v>
      </c>
      <c r="D20" s="16" t="s">
        <v>150</v>
      </c>
      <c r="E20" s="16" t="s">
        <v>151</v>
      </c>
    </row>
    <row r="21" spans="1:5" ht="51" x14ac:dyDescent="0.25">
      <c r="A21" s="16" t="s">
        <v>152</v>
      </c>
      <c r="B21" s="16" t="s">
        <v>153</v>
      </c>
      <c r="C21" s="16" t="s">
        <v>154</v>
      </c>
      <c r="D21" s="16" t="s">
        <v>155</v>
      </c>
      <c r="E21" s="16" t="s">
        <v>156</v>
      </c>
    </row>
    <row r="22" spans="1:5" ht="51" x14ac:dyDescent="0.25">
      <c r="A22" s="16" t="s">
        <v>157</v>
      </c>
      <c r="B22" s="16" t="s">
        <v>158</v>
      </c>
      <c r="C22" s="16" t="s">
        <v>159</v>
      </c>
      <c r="D22" s="16" t="s">
        <v>160</v>
      </c>
      <c r="E22" s="16" t="s">
        <v>161</v>
      </c>
    </row>
    <row r="23" spans="1:5" ht="85" x14ac:dyDescent="0.25">
      <c r="A23" s="16" t="s">
        <v>162</v>
      </c>
      <c r="B23" s="16" t="s">
        <v>163</v>
      </c>
      <c r="C23" s="16" t="s">
        <v>164</v>
      </c>
      <c r="D23" s="16" t="s">
        <v>165</v>
      </c>
      <c r="E23" s="16" t="s">
        <v>166</v>
      </c>
    </row>
    <row r="24" spans="1:5" ht="51" x14ac:dyDescent="0.25">
      <c r="A24" s="16" t="s">
        <v>167</v>
      </c>
      <c r="B24" s="16" t="s">
        <v>168</v>
      </c>
      <c r="C24" s="16" t="s">
        <v>169</v>
      </c>
      <c r="D24" s="16" t="s">
        <v>170</v>
      </c>
      <c r="E24" s="16" t="s">
        <v>171</v>
      </c>
    </row>
    <row r="25" spans="1:5" ht="34" x14ac:dyDescent="0.25">
      <c r="A25" s="19" t="s">
        <v>172</v>
      </c>
      <c r="B25" s="16" t="s">
        <v>173</v>
      </c>
      <c r="C25" s="16" t="s">
        <v>174</v>
      </c>
      <c r="D25" s="16" t="s">
        <v>175</v>
      </c>
      <c r="E25" s="20" t="s">
        <v>176</v>
      </c>
    </row>
    <row r="26" spans="1:5" ht="68" x14ac:dyDescent="0.25">
      <c r="A26" s="16" t="s">
        <v>177</v>
      </c>
      <c r="B26" s="16" t="s">
        <v>178</v>
      </c>
      <c r="C26" s="16" t="s">
        <v>179</v>
      </c>
      <c r="D26" s="16" t="s">
        <v>180</v>
      </c>
      <c r="E26" s="16" t="s">
        <v>181</v>
      </c>
    </row>
    <row r="27" spans="1:5" ht="85" x14ac:dyDescent="0.25">
      <c r="A27" s="21" t="s">
        <v>182</v>
      </c>
      <c r="B27" s="16" t="s">
        <v>183</v>
      </c>
      <c r="C27" s="16" t="s">
        <v>184</v>
      </c>
      <c r="D27" s="16" t="s">
        <v>185</v>
      </c>
      <c r="E27" s="16" t="s">
        <v>186</v>
      </c>
    </row>
    <row r="28" spans="1:5" ht="68" x14ac:dyDescent="0.25">
      <c r="A28" s="21" t="s">
        <v>248</v>
      </c>
      <c r="B28" s="16" t="s">
        <v>251</v>
      </c>
      <c r="C28" s="16" t="s">
        <v>350</v>
      </c>
    </row>
    <row r="29" spans="1:5" ht="51" x14ac:dyDescent="0.25">
      <c r="A29" s="16" t="s">
        <v>249</v>
      </c>
      <c r="B29" s="16" t="s">
        <v>251</v>
      </c>
      <c r="C29" s="16" t="s">
        <v>293</v>
      </c>
    </row>
    <row r="30" spans="1:5" ht="17" x14ac:dyDescent="0.25">
      <c r="A30" s="21" t="s">
        <v>250</v>
      </c>
    </row>
    <row r="32" spans="1:5" ht="34" x14ac:dyDescent="0.25">
      <c r="A32" s="16" t="s">
        <v>187</v>
      </c>
    </row>
    <row r="33" spans="1:5" ht="17" x14ac:dyDescent="0.25">
      <c r="A33" s="16" t="s">
        <v>115</v>
      </c>
      <c r="B33" s="16" t="s">
        <v>188</v>
      </c>
      <c r="C33" s="16" t="s">
        <v>189</v>
      </c>
    </row>
    <row r="34" spans="1:5" ht="102" x14ac:dyDescent="0.25">
      <c r="A34" s="16" t="s">
        <v>190</v>
      </c>
      <c r="B34" s="16" t="s">
        <v>191</v>
      </c>
      <c r="C34" s="16" t="s">
        <v>294</v>
      </c>
    </row>
    <row r="35" spans="1:5" ht="170" x14ac:dyDescent="0.25">
      <c r="A35" s="16" t="s">
        <v>192</v>
      </c>
      <c r="B35" s="16" t="s">
        <v>193</v>
      </c>
      <c r="C35" s="16" t="s">
        <v>295</v>
      </c>
    </row>
    <row r="36" spans="1:5" ht="68" x14ac:dyDescent="0.25">
      <c r="A36" s="16" t="s">
        <v>194</v>
      </c>
      <c r="B36" s="16" t="s">
        <v>195</v>
      </c>
      <c r="C36" s="16" t="s">
        <v>296</v>
      </c>
    </row>
    <row r="37" spans="1:5" ht="68" x14ac:dyDescent="0.25">
      <c r="A37" s="16" t="s">
        <v>196</v>
      </c>
      <c r="B37" s="16" t="s">
        <v>197</v>
      </c>
      <c r="C37" s="16" t="s">
        <v>198</v>
      </c>
    </row>
    <row r="38" spans="1:5" ht="68" x14ac:dyDescent="0.25">
      <c r="A38" s="16" t="s">
        <v>272</v>
      </c>
      <c r="B38" s="16" t="s">
        <v>188</v>
      </c>
      <c r="C38" s="16" t="s">
        <v>252</v>
      </c>
    </row>
    <row r="39" spans="1:5" ht="85" x14ac:dyDescent="0.25">
      <c r="A39" s="16" t="s">
        <v>274</v>
      </c>
      <c r="B39" s="16" t="s">
        <v>200</v>
      </c>
      <c r="C39" s="16" t="s">
        <v>273</v>
      </c>
    </row>
    <row r="40" spans="1:5" ht="102" x14ac:dyDescent="0.25">
      <c r="A40" s="16" t="s">
        <v>275</v>
      </c>
      <c r="B40" s="16" t="s">
        <v>188</v>
      </c>
      <c r="C40" s="16" t="s">
        <v>297</v>
      </c>
    </row>
    <row r="41" spans="1:5" ht="68" x14ac:dyDescent="0.25">
      <c r="A41" s="16" t="s">
        <v>253</v>
      </c>
      <c r="B41" s="16" t="s">
        <v>188</v>
      </c>
      <c r="C41" s="16" t="s">
        <v>298</v>
      </c>
    </row>
    <row r="42" spans="1:5" ht="102" x14ac:dyDescent="0.25">
      <c r="A42" s="16" t="s">
        <v>276</v>
      </c>
      <c r="B42" s="16" t="s">
        <v>277</v>
      </c>
      <c r="C42" s="16" t="s">
        <v>299</v>
      </c>
    </row>
    <row r="45" spans="1:5" ht="34" x14ac:dyDescent="0.25">
      <c r="A45" s="16" t="s">
        <v>199</v>
      </c>
    </row>
    <row r="46" spans="1:5" ht="17" x14ac:dyDescent="0.25">
      <c r="A46" s="16" t="s">
        <v>115</v>
      </c>
      <c r="B46" s="16" t="s">
        <v>200</v>
      </c>
      <c r="C46" s="16" t="s">
        <v>201</v>
      </c>
      <c r="D46" s="16" t="s">
        <v>202</v>
      </c>
      <c r="E46" s="16" t="s">
        <v>203</v>
      </c>
    </row>
    <row r="47" spans="1:5" ht="51" x14ac:dyDescent="0.25">
      <c r="A47" s="16" t="s">
        <v>204</v>
      </c>
      <c r="B47" s="16" t="s">
        <v>205</v>
      </c>
      <c r="C47" s="16" t="s">
        <v>206</v>
      </c>
      <c r="D47" s="16" t="s">
        <v>207</v>
      </c>
      <c r="E47" s="16" t="s">
        <v>208</v>
      </c>
    </row>
    <row r="48" spans="1:5" ht="85" x14ac:dyDescent="0.25">
      <c r="A48" s="16" t="s">
        <v>209</v>
      </c>
      <c r="B48" s="16" t="s">
        <v>210</v>
      </c>
      <c r="C48" s="16" t="s">
        <v>211</v>
      </c>
      <c r="D48" s="16" t="s">
        <v>212</v>
      </c>
      <c r="E48" s="16" t="s">
        <v>213</v>
      </c>
    </row>
    <row r="49" spans="1:5" ht="51" x14ac:dyDescent="0.25">
      <c r="A49" s="16" t="s">
        <v>214</v>
      </c>
      <c r="B49" s="16" t="s">
        <v>215</v>
      </c>
      <c r="C49" s="16" t="s">
        <v>216</v>
      </c>
      <c r="D49" s="16" t="s">
        <v>217</v>
      </c>
      <c r="E49" s="16" t="s">
        <v>218</v>
      </c>
    </row>
    <row r="50" spans="1:5" ht="85" x14ac:dyDescent="0.25">
      <c r="A50" s="16" t="s">
        <v>244</v>
      </c>
      <c r="B50" s="16" t="s">
        <v>200</v>
      </c>
      <c r="C50" s="16" t="s">
        <v>348</v>
      </c>
      <c r="D50" s="16" t="s">
        <v>300</v>
      </c>
      <c r="E50" s="16" t="s">
        <v>301</v>
      </c>
    </row>
    <row r="51" spans="1:5" ht="119" x14ac:dyDescent="0.25">
      <c r="A51" s="16" t="s">
        <v>245</v>
      </c>
      <c r="B51" s="25" t="s">
        <v>200</v>
      </c>
      <c r="C51" s="16" t="s">
        <v>351</v>
      </c>
      <c r="D51" s="16" t="s">
        <v>352</v>
      </c>
      <c r="E51" s="16" t="s">
        <v>353</v>
      </c>
    </row>
    <row r="52" spans="1:5" ht="85" x14ac:dyDescent="0.25">
      <c r="A52" s="16" t="s">
        <v>246</v>
      </c>
      <c r="B52" s="16" t="s">
        <v>200</v>
      </c>
      <c r="C52" s="16" t="s">
        <v>349</v>
      </c>
    </row>
    <row r="53" spans="1:5" ht="51" x14ac:dyDescent="0.25">
      <c r="A53" s="16" t="s">
        <v>247</v>
      </c>
      <c r="B53" s="16" t="s">
        <v>200</v>
      </c>
      <c r="C53" s="16" t="s">
        <v>373</v>
      </c>
    </row>
    <row r="54" spans="1:5" ht="68" x14ac:dyDescent="0.25">
      <c r="A54" s="16" t="s">
        <v>302</v>
      </c>
      <c r="B54" s="16" t="s">
        <v>303</v>
      </c>
      <c r="C54" s="16" t="s">
        <v>304</v>
      </c>
      <c r="D54" s="16" t="s">
        <v>305</v>
      </c>
      <c r="E54" s="16" t="s">
        <v>306</v>
      </c>
    </row>
    <row r="55" spans="1:5" ht="34" x14ac:dyDescent="0.25">
      <c r="A55" s="16" t="s">
        <v>307</v>
      </c>
      <c r="B55" s="16" t="s">
        <v>308</v>
      </c>
      <c r="C55" s="16" t="s">
        <v>309</v>
      </c>
      <c r="D55" s="16" t="s">
        <v>310</v>
      </c>
      <c r="E55" s="16" t="s">
        <v>311</v>
      </c>
    </row>
    <row r="56" spans="1:5" ht="68" x14ac:dyDescent="0.25">
      <c r="A56" s="16" t="s">
        <v>312</v>
      </c>
      <c r="B56" s="16" t="s">
        <v>313</v>
      </c>
      <c r="C56" s="16" t="s">
        <v>314</v>
      </c>
      <c r="D56" s="16" t="s">
        <v>315</v>
      </c>
      <c r="E56" s="16" t="s">
        <v>316</v>
      </c>
    </row>
    <row r="57" spans="1:5" ht="68" x14ac:dyDescent="0.25">
      <c r="A57" s="16" t="s">
        <v>317</v>
      </c>
      <c r="B57" s="16" t="s">
        <v>318</v>
      </c>
      <c r="C57" s="16" t="s">
        <v>319</v>
      </c>
      <c r="D57" s="16" t="s">
        <v>320</v>
      </c>
      <c r="E57" s="16" t="s">
        <v>321</v>
      </c>
    </row>
    <row r="58" spans="1:5" ht="51" x14ac:dyDescent="0.25">
      <c r="A58" s="16" t="s">
        <v>322</v>
      </c>
      <c r="B58" s="16" t="s">
        <v>323</v>
      </c>
      <c r="C58" s="16" t="s">
        <v>324</v>
      </c>
      <c r="D58" s="16" t="s">
        <v>325</v>
      </c>
      <c r="E58" s="16" t="s">
        <v>326</v>
      </c>
    </row>
    <row r="59" spans="1:5" ht="68" x14ac:dyDescent="0.25">
      <c r="A59" s="16" t="s">
        <v>354</v>
      </c>
      <c r="B59" s="16" t="s">
        <v>340</v>
      </c>
      <c r="C59" s="16" t="s">
        <v>355</v>
      </c>
      <c r="D59" s="16" t="s">
        <v>356</v>
      </c>
      <c r="E59" s="16" t="s">
        <v>357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DBE6BA-48CB-8D47-8AB4-D84B0936E9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Demand pivot per SKU</vt:lpstr>
      <vt:lpstr>ABC Analysis</vt:lpstr>
      <vt:lpstr>ABC Analysis combined</vt:lpstr>
      <vt:lpstr>Simulated on-hand</vt:lpstr>
      <vt:lpstr>Demand</vt:lpstr>
      <vt:lpstr>Inputs</vt:lpstr>
      <vt:lpstr>Summary</vt:lpstr>
      <vt:lpstr>Data Notes</vt:lpstr>
      <vt:lpstr>AsOf</vt:lpstr>
      <vt:lpstr>ExcessDays</vt:lpstr>
      <vt:lpstr>MinVolume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Yeokyung Shin</dc:creator>
  <cp:lastModifiedBy>Yeokyung Shin</cp:lastModifiedBy>
  <cp:lastPrinted>2026-10-05T19:26:25Z</cp:lastPrinted>
  <dcterms:created xsi:type="dcterms:W3CDTF">2026-08-24T19:21:54Z</dcterms:created>
  <dcterms:modified xsi:type="dcterms:W3CDTF">2026-10-10T12:59:18Z</dcterms:modified>
</cp:coreProperties>
</file>